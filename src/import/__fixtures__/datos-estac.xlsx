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gea\Dropbox\Emmanuel\IngVial\"/>
    </mc:Choice>
  </mc:AlternateContent>
  <xr:revisionPtr revIDLastSave="0" documentId="13_ncr:1_{1CB328AF-2101-4789-B94F-0F439BE16C36}" xr6:coauthVersionLast="47" xr6:coauthVersionMax="47" xr10:uidLastSave="{00000000-0000-0000-0000-000000000000}"/>
  <bookViews>
    <workbookView xWindow="-120" yWindow="-120" windowWidth="29040" windowHeight="15720" xr2:uid="{74602BD3-199C-4951-8786-CF5CB722146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139" i="1" l="1"/>
  <c r="L139" i="1"/>
  <c r="J139" i="1"/>
  <c r="O137" i="1"/>
  <c r="M137" i="1"/>
  <c r="K137" i="1"/>
  <c r="N136" i="1"/>
  <c r="L136" i="1"/>
  <c r="J136" i="1"/>
  <c r="N135" i="1"/>
  <c r="L135" i="1"/>
  <c r="J135" i="1"/>
  <c r="N134" i="1"/>
  <c r="L134" i="1"/>
  <c r="J134" i="1"/>
  <c r="N133" i="1"/>
  <c r="L133" i="1"/>
  <c r="J133" i="1"/>
  <c r="N132" i="1"/>
  <c r="L132" i="1"/>
  <c r="J132" i="1"/>
  <c r="N131" i="1"/>
  <c r="L131" i="1"/>
  <c r="J131" i="1"/>
  <c r="N130" i="1"/>
  <c r="L130" i="1"/>
  <c r="J130" i="1"/>
  <c r="N129" i="1"/>
  <c r="L129" i="1"/>
  <c r="J129" i="1"/>
  <c r="N128" i="1"/>
  <c r="L128" i="1"/>
  <c r="J128" i="1"/>
  <c r="N127" i="1"/>
  <c r="L127" i="1"/>
  <c r="J127" i="1"/>
  <c r="N126" i="1"/>
  <c r="L126" i="1"/>
  <c r="J126" i="1"/>
  <c r="N125" i="1"/>
  <c r="L125" i="1"/>
  <c r="J125" i="1"/>
  <c r="N124" i="1"/>
  <c r="L124" i="1"/>
  <c r="J124" i="1"/>
  <c r="N123" i="1"/>
  <c r="L123" i="1"/>
  <c r="J123" i="1"/>
  <c r="N122" i="1"/>
  <c r="L122" i="1"/>
  <c r="J122" i="1"/>
  <c r="N121" i="1"/>
  <c r="L121" i="1"/>
  <c r="J121" i="1"/>
  <c r="N120" i="1"/>
  <c r="L120" i="1"/>
  <c r="J120" i="1"/>
  <c r="N119" i="1"/>
  <c r="L119" i="1"/>
  <c r="J119" i="1"/>
  <c r="N118" i="1"/>
  <c r="L118" i="1"/>
  <c r="J118" i="1"/>
  <c r="N117" i="1"/>
  <c r="L117" i="1"/>
  <c r="J117" i="1"/>
  <c r="N116" i="1"/>
  <c r="L116" i="1"/>
  <c r="J116" i="1"/>
  <c r="N115" i="1"/>
  <c r="L115" i="1"/>
  <c r="J115" i="1"/>
  <c r="N114" i="1"/>
  <c r="L114" i="1"/>
  <c r="J114" i="1"/>
  <c r="N113" i="1"/>
  <c r="L113" i="1"/>
  <c r="J113" i="1"/>
  <c r="N112" i="1"/>
  <c r="L112" i="1"/>
  <c r="J112" i="1"/>
  <c r="N111" i="1"/>
  <c r="L111" i="1"/>
  <c r="J111" i="1"/>
  <c r="N110" i="1"/>
  <c r="L110" i="1"/>
  <c r="J110" i="1"/>
  <c r="N109" i="1"/>
  <c r="L109" i="1"/>
  <c r="J109" i="1"/>
  <c r="N108" i="1"/>
  <c r="L108" i="1"/>
  <c r="J108" i="1"/>
  <c r="N107" i="1"/>
  <c r="L107" i="1"/>
  <c r="J107" i="1"/>
  <c r="N106" i="1"/>
  <c r="L106" i="1"/>
  <c r="J106" i="1"/>
  <c r="N105" i="1"/>
  <c r="L105" i="1"/>
  <c r="J105" i="1"/>
  <c r="N104" i="1"/>
  <c r="L104" i="1"/>
  <c r="J104" i="1"/>
  <c r="N103" i="1"/>
  <c r="L103" i="1"/>
  <c r="J103" i="1"/>
  <c r="N102" i="1"/>
  <c r="L102" i="1"/>
  <c r="J102" i="1"/>
  <c r="N101" i="1"/>
  <c r="L101" i="1"/>
  <c r="J101" i="1"/>
  <c r="N100" i="1"/>
  <c r="L100" i="1"/>
  <c r="J100" i="1"/>
  <c r="N99" i="1"/>
  <c r="L99" i="1"/>
  <c r="J99" i="1"/>
  <c r="N98" i="1"/>
  <c r="L98" i="1"/>
  <c r="J98" i="1"/>
  <c r="N97" i="1"/>
  <c r="L97" i="1"/>
  <c r="J97" i="1"/>
  <c r="N96" i="1"/>
  <c r="L96" i="1"/>
  <c r="J96" i="1"/>
  <c r="N95" i="1"/>
  <c r="L95" i="1"/>
  <c r="J95" i="1"/>
  <c r="N94" i="1"/>
  <c r="L94" i="1"/>
  <c r="J94" i="1"/>
  <c r="N93" i="1"/>
  <c r="L93" i="1"/>
  <c r="J93" i="1"/>
  <c r="N92" i="1"/>
  <c r="L92" i="1"/>
  <c r="J92" i="1"/>
  <c r="N91" i="1"/>
  <c r="L91" i="1"/>
  <c r="J91" i="1"/>
  <c r="N90" i="1"/>
  <c r="L90" i="1"/>
  <c r="J90" i="1"/>
  <c r="N89" i="1"/>
  <c r="L89" i="1"/>
  <c r="J89" i="1"/>
  <c r="N88" i="1"/>
  <c r="L88" i="1"/>
  <c r="J88" i="1"/>
  <c r="N87" i="1"/>
  <c r="L87" i="1"/>
  <c r="J87" i="1"/>
  <c r="N86" i="1"/>
  <c r="L86" i="1"/>
  <c r="J86" i="1"/>
  <c r="N85" i="1"/>
  <c r="L85" i="1"/>
  <c r="J85" i="1"/>
  <c r="N84" i="1"/>
  <c r="L84" i="1"/>
  <c r="J84" i="1"/>
  <c r="N83" i="1"/>
  <c r="L83" i="1"/>
  <c r="J83" i="1"/>
  <c r="N82" i="1"/>
  <c r="L82" i="1"/>
  <c r="J82" i="1"/>
  <c r="N81" i="1"/>
  <c r="L81" i="1"/>
  <c r="J81" i="1"/>
  <c r="N80" i="1"/>
  <c r="L80" i="1"/>
  <c r="J80" i="1"/>
  <c r="N79" i="1"/>
  <c r="L79" i="1"/>
  <c r="J79" i="1"/>
  <c r="N78" i="1"/>
  <c r="L78" i="1"/>
  <c r="J78" i="1"/>
  <c r="N77" i="1"/>
  <c r="L77" i="1"/>
  <c r="J77" i="1"/>
  <c r="N76" i="1"/>
  <c r="L76" i="1"/>
  <c r="J76" i="1"/>
  <c r="N75" i="1"/>
  <c r="L75" i="1"/>
  <c r="J75" i="1"/>
  <c r="N74" i="1"/>
  <c r="L74" i="1"/>
  <c r="J74" i="1"/>
  <c r="N73" i="1"/>
  <c r="L73" i="1"/>
  <c r="J73" i="1"/>
  <c r="N72" i="1"/>
  <c r="L72" i="1"/>
  <c r="J72" i="1"/>
  <c r="N71" i="1"/>
  <c r="L71" i="1"/>
  <c r="J71" i="1"/>
  <c r="N70" i="1"/>
  <c r="L70" i="1"/>
  <c r="J70" i="1"/>
  <c r="N69" i="1"/>
  <c r="L69" i="1"/>
  <c r="J69" i="1"/>
  <c r="N68" i="1"/>
  <c r="L68" i="1"/>
  <c r="J68" i="1"/>
  <c r="N67" i="1"/>
  <c r="L67" i="1"/>
  <c r="J67" i="1"/>
  <c r="N66" i="1"/>
  <c r="L66" i="1"/>
  <c r="J66" i="1"/>
  <c r="N65" i="1"/>
  <c r="L65" i="1"/>
  <c r="J65" i="1"/>
  <c r="N64" i="1"/>
  <c r="L64" i="1"/>
  <c r="J64" i="1"/>
  <c r="N63" i="1"/>
  <c r="L63" i="1"/>
  <c r="J63" i="1"/>
  <c r="N62" i="1"/>
  <c r="L62" i="1"/>
  <c r="J62" i="1"/>
  <c r="N61" i="1"/>
  <c r="L61" i="1"/>
  <c r="J61" i="1"/>
  <c r="N60" i="1"/>
  <c r="L60" i="1"/>
  <c r="J60" i="1"/>
  <c r="N59" i="1"/>
  <c r="L59" i="1"/>
  <c r="J59" i="1"/>
  <c r="N58" i="1"/>
  <c r="L58" i="1"/>
  <c r="J58" i="1"/>
  <c r="N57" i="1"/>
  <c r="L57" i="1"/>
  <c r="J57" i="1"/>
  <c r="N56" i="1"/>
  <c r="L56" i="1"/>
  <c r="J56" i="1"/>
  <c r="N55" i="1"/>
  <c r="L55" i="1"/>
  <c r="J55" i="1"/>
  <c r="N54" i="1"/>
  <c r="L54" i="1"/>
  <c r="J54" i="1"/>
  <c r="N53" i="1"/>
  <c r="L53" i="1"/>
  <c r="J53" i="1"/>
  <c r="N52" i="1"/>
  <c r="L52" i="1"/>
  <c r="J52" i="1"/>
  <c r="N51" i="1"/>
  <c r="L51" i="1"/>
  <c r="J51" i="1"/>
  <c r="N50" i="1"/>
  <c r="L50" i="1"/>
  <c r="J50" i="1"/>
  <c r="N49" i="1"/>
  <c r="L49" i="1"/>
  <c r="J49" i="1"/>
  <c r="N48" i="1"/>
  <c r="L48" i="1"/>
  <c r="J48" i="1"/>
  <c r="N47" i="1"/>
  <c r="L47" i="1"/>
  <c r="J47" i="1"/>
  <c r="N46" i="1"/>
  <c r="L46" i="1"/>
  <c r="J46" i="1"/>
  <c r="N45" i="1"/>
  <c r="L45" i="1"/>
  <c r="J45" i="1"/>
  <c r="N44" i="1"/>
  <c r="L44" i="1"/>
  <c r="J44" i="1"/>
  <c r="N43" i="1"/>
  <c r="L43" i="1"/>
  <c r="J43" i="1"/>
  <c r="N42" i="1"/>
  <c r="L42" i="1"/>
  <c r="J42" i="1"/>
  <c r="N41" i="1"/>
  <c r="L41" i="1"/>
  <c r="J41" i="1"/>
  <c r="N40" i="1"/>
  <c r="L40" i="1"/>
  <c r="J40" i="1"/>
  <c r="N39" i="1"/>
  <c r="L39" i="1"/>
  <c r="J39" i="1"/>
  <c r="N38" i="1"/>
  <c r="L38" i="1"/>
  <c r="J38" i="1"/>
  <c r="N37" i="1"/>
  <c r="L37" i="1"/>
  <c r="J37" i="1"/>
  <c r="N36" i="1"/>
  <c r="L36" i="1"/>
  <c r="J36" i="1"/>
  <c r="N35" i="1"/>
  <c r="L35" i="1"/>
  <c r="J35" i="1"/>
  <c r="N34" i="1"/>
  <c r="L34" i="1"/>
  <c r="J34" i="1"/>
  <c r="N33" i="1"/>
  <c r="L33" i="1"/>
  <c r="J33" i="1"/>
  <c r="N32" i="1"/>
  <c r="L32" i="1"/>
  <c r="J32" i="1"/>
  <c r="N31" i="1"/>
  <c r="L31" i="1"/>
  <c r="J31" i="1"/>
  <c r="N30" i="1"/>
  <c r="L30" i="1"/>
  <c r="J30" i="1"/>
  <c r="N29" i="1"/>
  <c r="L29" i="1"/>
  <c r="J29" i="1"/>
  <c r="N28" i="1"/>
  <c r="L28" i="1"/>
  <c r="J28" i="1"/>
  <c r="N27" i="1"/>
  <c r="L27" i="1"/>
  <c r="J27" i="1"/>
  <c r="N26" i="1"/>
  <c r="L26" i="1"/>
  <c r="J26" i="1"/>
  <c r="N25" i="1"/>
  <c r="L25" i="1"/>
  <c r="J25" i="1"/>
  <c r="N24" i="1"/>
  <c r="L24" i="1"/>
  <c r="J24" i="1"/>
  <c r="N23" i="1"/>
  <c r="L23" i="1"/>
  <c r="J23" i="1"/>
  <c r="N22" i="1"/>
  <c r="L22" i="1"/>
  <c r="J22" i="1"/>
  <c r="N21" i="1"/>
  <c r="L21" i="1"/>
  <c r="J21" i="1"/>
  <c r="N20" i="1"/>
  <c r="L20" i="1"/>
  <c r="J20" i="1"/>
  <c r="N19" i="1"/>
  <c r="L19" i="1"/>
  <c r="J19" i="1"/>
  <c r="N18" i="1"/>
  <c r="L18" i="1"/>
  <c r="J18" i="1"/>
  <c r="N17" i="1"/>
  <c r="L17" i="1"/>
  <c r="J17" i="1"/>
  <c r="N16" i="1"/>
  <c r="L16" i="1"/>
  <c r="J16" i="1"/>
  <c r="N15" i="1"/>
  <c r="L15" i="1"/>
  <c r="J15" i="1"/>
  <c r="N14" i="1"/>
  <c r="L14" i="1"/>
  <c r="J14" i="1"/>
  <c r="N13" i="1"/>
  <c r="L13" i="1"/>
  <c r="J13" i="1"/>
  <c r="N12" i="1"/>
  <c r="L12" i="1"/>
  <c r="J12" i="1"/>
  <c r="N11" i="1"/>
  <c r="L11" i="1"/>
  <c r="J11" i="1"/>
  <c r="N10" i="1"/>
  <c r="L10" i="1"/>
  <c r="J10" i="1"/>
  <c r="N9" i="1"/>
  <c r="N137" i="1" s="1"/>
  <c r="N140" i="1" s="1"/>
  <c r="N142" i="1" s="1"/>
  <c r="N143" i="1" s="1"/>
  <c r="L9" i="1"/>
  <c r="L137" i="1" s="1"/>
  <c r="L140" i="1" s="1"/>
  <c r="L142" i="1" s="1"/>
  <c r="L143" i="1" s="1"/>
  <c r="J9" i="1"/>
  <c r="J141" i="1" s="1"/>
  <c r="J144" i="1" l="1"/>
  <c r="J137" i="1"/>
  <c r="J140" i="1" s="1"/>
  <c r="J142" i="1" s="1"/>
  <c r="J143" i="1" s="1"/>
  <c r="L141" i="1"/>
  <c r="L144" i="1" s="1"/>
  <c r="N141" i="1"/>
  <c r="N144" i="1" s="1"/>
</calcChain>
</file>

<file path=xl/sharedStrings.xml><?xml version="1.0" encoding="utf-8"?>
<sst xmlns="http://schemas.openxmlformats.org/spreadsheetml/2006/main" count="507" uniqueCount="143">
  <si>
    <t>Estudio de Estacionamientos</t>
  </si>
  <si>
    <t>Calculo de cajones</t>
  </si>
  <si>
    <t>Dirección:</t>
  </si>
  <si>
    <t>Av. Lázaro Cardenas No.2225, Fracc. Valle Oriente, San Pedro Garza García, N.L.</t>
  </si>
  <si>
    <t>Fecha:</t>
  </si>
  <si>
    <t>jueves 1 de octubre de 2026</t>
  </si>
  <si>
    <t>Nivel:</t>
  </si>
  <si>
    <t>PLANTA BAJA</t>
  </si>
  <si>
    <t>Numero de cajones</t>
  </si>
  <si>
    <t>Recorridos</t>
  </si>
  <si>
    <t>Hora
9:00hrs</t>
  </si>
  <si>
    <t>Hora
10:00hrs</t>
  </si>
  <si>
    <t>Hora
13:00hrs</t>
  </si>
  <si>
    <t>Hora
14:00hrs</t>
  </si>
  <si>
    <t>Hora
17:00hrs</t>
  </si>
  <si>
    <t>Hora
18:00hrs</t>
  </si>
  <si>
    <t>03B</t>
  </si>
  <si>
    <t>28A</t>
  </si>
  <si>
    <t>AVE</t>
  </si>
  <si>
    <t>76H</t>
  </si>
  <si>
    <t>91C</t>
  </si>
  <si>
    <t>45C</t>
  </si>
  <si>
    <t>56C</t>
  </si>
  <si>
    <t>11C</t>
  </si>
  <si>
    <t>27B</t>
  </si>
  <si>
    <t>29A</t>
  </si>
  <si>
    <t>30a</t>
  </si>
  <si>
    <t>31a</t>
  </si>
  <si>
    <t>32a</t>
  </si>
  <si>
    <t>67B</t>
  </si>
  <si>
    <t>77B</t>
  </si>
  <si>
    <t>16C</t>
  </si>
  <si>
    <t>69C</t>
  </si>
  <si>
    <t>58A</t>
  </si>
  <si>
    <t>58a</t>
  </si>
  <si>
    <t>97A</t>
  </si>
  <si>
    <t>97a</t>
  </si>
  <si>
    <t>39C</t>
  </si>
  <si>
    <t>66C</t>
  </si>
  <si>
    <t>15A</t>
  </si>
  <si>
    <t>15a</t>
  </si>
  <si>
    <t>51A</t>
  </si>
  <si>
    <t>51a</t>
  </si>
  <si>
    <t>71C</t>
  </si>
  <si>
    <t>17B</t>
  </si>
  <si>
    <t>96A</t>
  </si>
  <si>
    <t>96a</t>
  </si>
  <si>
    <t>70C</t>
  </si>
  <si>
    <t>05C</t>
  </si>
  <si>
    <t>30B</t>
  </si>
  <si>
    <t>93A</t>
  </si>
  <si>
    <t>93a</t>
  </si>
  <si>
    <t>01C</t>
  </si>
  <si>
    <t>75B</t>
  </si>
  <si>
    <t>59C</t>
  </si>
  <si>
    <t>22C</t>
  </si>
  <si>
    <t>60C</t>
  </si>
  <si>
    <t>23B</t>
  </si>
  <si>
    <t>20C</t>
  </si>
  <si>
    <t>06D</t>
  </si>
  <si>
    <t>82A</t>
  </si>
  <si>
    <t>47A</t>
  </si>
  <si>
    <t>47a</t>
  </si>
  <si>
    <t>23C</t>
  </si>
  <si>
    <t>43B</t>
  </si>
  <si>
    <t>52C</t>
  </si>
  <si>
    <t>73A</t>
  </si>
  <si>
    <t>73a</t>
  </si>
  <si>
    <t>26A</t>
  </si>
  <si>
    <t>27a</t>
  </si>
  <si>
    <t>49B</t>
  </si>
  <si>
    <t>39B</t>
  </si>
  <si>
    <t>04A</t>
  </si>
  <si>
    <t>01B</t>
  </si>
  <si>
    <t>62A</t>
  </si>
  <si>
    <t>69B</t>
  </si>
  <si>
    <t>93B</t>
  </si>
  <si>
    <t>54C</t>
  </si>
  <si>
    <t>65C</t>
  </si>
  <si>
    <t>79C</t>
  </si>
  <si>
    <t>48C</t>
  </si>
  <si>
    <t>72C</t>
  </si>
  <si>
    <t>B5C</t>
  </si>
  <si>
    <t>01A</t>
  </si>
  <si>
    <t>05B</t>
  </si>
  <si>
    <t>92A</t>
  </si>
  <si>
    <t>29a</t>
  </si>
  <si>
    <t>26B</t>
  </si>
  <si>
    <t>80A</t>
  </si>
  <si>
    <t>BLC</t>
  </si>
  <si>
    <t>88A</t>
  </si>
  <si>
    <t>10A</t>
  </si>
  <si>
    <t>97B</t>
  </si>
  <si>
    <t>42A</t>
  </si>
  <si>
    <t>44B</t>
  </si>
  <si>
    <t>45D</t>
  </si>
  <si>
    <t>18B</t>
  </si>
  <si>
    <t>29C</t>
  </si>
  <si>
    <t>05D</t>
  </si>
  <si>
    <t>57B</t>
  </si>
  <si>
    <t>74C</t>
  </si>
  <si>
    <t>42C</t>
  </si>
  <si>
    <t>27C</t>
  </si>
  <si>
    <t>46A</t>
  </si>
  <si>
    <t>59B</t>
  </si>
  <si>
    <t>37C</t>
  </si>
  <si>
    <t>98C</t>
  </si>
  <si>
    <t>58B</t>
  </si>
  <si>
    <t>19C</t>
  </si>
  <si>
    <t>95B</t>
  </si>
  <si>
    <t>79A</t>
  </si>
  <si>
    <t>87A</t>
  </si>
  <si>
    <t>68B</t>
  </si>
  <si>
    <t>BLM</t>
  </si>
  <si>
    <t>96E</t>
  </si>
  <si>
    <t>94C</t>
  </si>
  <si>
    <t>75C</t>
  </si>
  <si>
    <t>06B</t>
  </si>
  <si>
    <t>56B</t>
  </si>
  <si>
    <t>47B</t>
  </si>
  <si>
    <t>86C</t>
  </si>
  <si>
    <t>84C</t>
  </si>
  <si>
    <t>90A</t>
  </si>
  <si>
    <t>91B</t>
  </si>
  <si>
    <t>34C</t>
  </si>
  <si>
    <t>10D</t>
  </si>
  <si>
    <t>23A</t>
  </si>
  <si>
    <t>99B</t>
  </si>
  <si>
    <t>HK1</t>
  </si>
  <si>
    <t>18C</t>
  </si>
  <si>
    <t>84A</t>
  </si>
  <si>
    <t>88C</t>
  </si>
  <si>
    <t>00C</t>
  </si>
  <si>
    <t>Oferta</t>
  </si>
  <si>
    <t>cajones</t>
  </si>
  <si>
    <t>Demanda</t>
  </si>
  <si>
    <t>Cajones vacios</t>
  </si>
  <si>
    <t>Indice de rotacion=</t>
  </si>
  <si>
    <t>veh/cajon/hora</t>
  </si>
  <si>
    <t>´+</t>
  </si>
  <si>
    <t>Duracion media=</t>
  </si>
  <si>
    <t>horas*cajon/veh</t>
  </si>
  <si>
    <t>Utilizacion de la capacidad de la zona de estacionamiento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</si>
</sst>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8">
    <xf numFmtId="0" fontId="0" fillId="0" borderId="0" xfId="0"/>
    <xf numFmtId="0" fontId="3" fillId="0" borderId="0" xfId="0" applyFont="1" applyAlignment="1">
      <alignment horizontal="center" vertical="center"/>
    </xf>
    <xf numFmtId="0" fontId="0" fillId="0" borderId="1" xfId="0" applyBorder="1"/>
    <xf numFmtId="0" fontId="0" fillId="0" borderId="2" xfId="0" applyBorder="1"/>
    <xf numFmtId="0" fontId="0" fillId="0" borderId="0" xfId="0" applyAlignment="1">
      <alignment horizontal="center" vertical="center"/>
    </xf>
    <xf numFmtId="0" fontId="0" fillId="0" borderId="3" xfId="0" applyBorder="1"/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3" xfId="0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0" fontId="0" fillId="0" borderId="3" xfId="0" applyBorder="1" applyAlignment="1">
      <alignment horizontal="center" vertical="top" wrapText="1"/>
    </xf>
    <xf numFmtId="0" fontId="2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2" borderId="3" xfId="0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6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" xfId="0" applyBorder="1" applyAlignment="1">
      <alignment wrapText="1"/>
    </xf>
    <xf numFmtId="164" fontId="3" fillId="0" borderId="4" xfId="0" applyNumberFormat="1" applyFont="1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9" fontId="3" fillId="0" borderId="4" xfId="1" applyFont="1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9" fontId="0" fillId="0" borderId="3" xfId="1" applyFont="1" applyBorder="1" applyAlignment="1">
      <alignment horizontal="center" vertical="center"/>
    </xf>
    <xf numFmtId="0" fontId="0" fillId="3" borderId="3" xfId="0" applyFill="1" applyBorder="1" applyAlignment="1">
      <alignment horizont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19DE5-3F8A-407A-87F5-14F0D0A98455}">
  <dimension ref="A1:O356"/>
  <sheetViews>
    <sheetView tabSelected="1" workbookViewId="0">
      <selection activeCell="H10" sqref="H10"/>
    </sheetView>
  </sheetViews>
  <sheetFormatPr baseColWidth="10" defaultRowHeight="15" x14ac:dyDescent="0.25"/>
  <cols>
    <col min="12" max="12" width="11.42578125" style="4"/>
  </cols>
  <sheetData>
    <row r="1" spans="1:15" ht="15.75" x14ac:dyDescent="0.25">
      <c r="A1" s="1" t="s">
        <v>0</v>
      </c>
      <c r="B1" s="1"/>
      <c r="C1" s="1"/>
      <c r="D1" s="1"/>
      <c r="E1" s="1"/>
      <c r="F1" s="1"/>
      <c r="G1" s="1"/>
      <c r="I1" s="1" t="s">
        <v>1</v>
      </c>
      <c r="J1" s="1"/>
      <c r="K1" s="1"/>
      <c r="L1" s="1"/>
      <c r="M1" s="1"/>
      <c r="N1" s="1"/>
      <c r="O1" s="1"/>
    </row>
    <row r="2" spans="1:15" x14ac:dyDescent="0.25">
      <c r="A2" t="s">
        <v>2</v>
      </c>
      <c r="B2" s="2" t="s">
        <v>3</v>
      </c>
      <c r="C2" s="2"/>
      <c r="D2" s="2"/>
      <c r="E2" s="2"/>
      <c r="F2" s="2"/>
      <c r="G2" s="2"/>
      <c r="I2" t="s">
        <v>2</v>
      </c>
      <c r="J2" s="2" t="s">
        <v>3</v>
      </c>
      <c r="K2" s="2"/>
      <c r="L2" s="2"/>
      <c r="M2" s="2"/>
      <c r="N2" s="2"/>
      <c r="O2" s="2"/>
    </row>
    <row r="3" spans="1:15" x14ac:dyDescent="0.25">
      <c r="A3" t="s">
        <v>4</v>
      </c>
      <c r="B3" s="3" t="s">
        <v>5</v>
      </c>
      <c r="C3" s="3"/>
      <c r="D3" s="3"/>
      <c r="I3" t="s">
        <v>4</v>
      </c>
      <c r="J3" s="3" t="s">
        <v>5</v>
      </c>
      <c r="K3" s="3"/>
      <c r="L3" s="3"/>
    </row>
    <row r="4" spans="1:15" ht="28.35" customHeight="1" x14ac:dyDescent="0.25"/>
    <row r="5" spans="1:15" x14ac:dyDescent="0.25">
      <c r="A5" s="5" t="s">
        <v>6</v>
      </c>
      <c r="B5" s="6" t="s">
        <v>7</v>
      </c>
      <c r="C5" s="7"/>
      <c r="D5" s="7"/>
      <c r="E5" s="7"/>
      <c r="F5" s="7"/>
      <c r="G5" s="8"/>
      <c r="I5" s="5" t="s">
        <v>6</v>
      </c>
      <c r="J5" s="6" t="s">
        <v>7</v>
      </c>
      <c r="K5" s="7"/>
      <c r="L5" s="7"/>
      <c r="M5" s="7"/>
      <c r="N5" s="7"/>
      <c r="O5" s="8"/>
    </row>
    <row r="6" spans="1:15" x14ac:dyDescent="0.25">
      <c r="A6" s="9" t="s">
        <v>8</v>
      </c>
      <c r="B6" s="10" t="s">
        <v>9</v>
      </c>
      <c r="C6" s="10"/>
      <c r="D6" s="10"/>
      <c r="E6" s="10"/>
      <c r="F6" s="10"/>
      <c r="G6" s="10"/>
      <c r="I6" s="9" t="s">
        <v>8</v>
      </c>
      <c r="J6" s="10" t="s">
        <v>9</v>
      </c>
      <c r="K6" s="10"/>
      <c r="L6" s="10"/>
      <c r="M6" s="10"/>
      <c r="N6" s="10"/>
      <c r="O6" s="10"/>
    </row>
    <row r="7" spans="1:15" ht="30" customHeight="1" x14ac:dyDescent="0.25">
      <c r="A7" s="9"/>
      <c r="B7" s="11" t="s">
        <v>10</v>
      </c>
      <c r="C7" s="11" t="s">
        <v>11</v>
      </c>
      <c r="D7" s="11" t="s">
        <v>12</v>
      </c>
      <c r="E7" s="11" t="s">
        <v>13</v>
      </c>
      <c r="F7" s="11" t="s">
        <v>14</v>
      </c>
      <c r="G7" s="11" t="s">
        <v>15</v>
      </c>
      <c r="I7" s="9"/>
      <c r="J7" s="11" t="s">
        <v>10</v>
      </c>
      <c r="K7" s="11" t="s">
        <v>11</v>
      </c>
      <c r="L7" s="11" t="s">
        <v>12</v>
      </c>
      <c r="M7" s="11" t="s">
        <v>13</v>
      </c>
      <c r="N7" s="11" t="s">
        <v>14</v>
      </c>
      <c r="O7" s="11" t="s">
        <v>15</v>
      </c>
    </row>
    <row r="8" spans="1:15" x14ac:dyDescent="0.25">
      <c r="A8" s="9"/>
      <c r="B8" s="12">
        <v>1</v>
      </c>
      <c r="C8" s="12">
        <v>2</v>
      </c>
      <c r="D8" s="12">
        <v>3</v>
      </c>
      <c r="E8" s="12">
        <v>4</v>
      </c>
      <c r="F8" s="12">
        <v>5</v>
      </c>
      <c r="G8" s="12">
        <v>6</v>
      </c>
      <c r="I8" s="9"/>
      <c r="J8" s="12">
        <v>1</v>
      </c>
      <c r="K8" s="12">
        <v>2</v>
      </c>
      <c r="L8" s="13">
        <v>3</v>
      </c>
      <c r="M8" s="12">
        <v>4</v>
      </c>
      <c r="N8" s="12">
        <v>5</v>
      </c>
      <c r="O8" s="12">
        <v>6</v>
      </c>
    </row>
    <row r="9" spans="1:15" x14ac:dyDescent="0.25">
      <c r="A9" s="14">
        <v>1</v>
      </c>
      <c r="B9" s="27" t="s">
        <v>16</v>
      </c>
      <c r="C9" s="27">
        <v>0</v>
      </c>
      <c r="D9" s="27" t="s">
        <v>17</v>
      </c>
      <c r="E9" s="27">
        <v>0</v>
      </c>
      <c r="F9" s="27" t="s">
        <v>18</v>
      </c>
      <c r="G9" s="27">
        <v>0</v>
      </c>
      <c r="I9" s="14">
        <v>1</v>
      </c>
      <c r="J9" s="15">
        <f t="shared" ref="J9:N24" si="0">IF(B9=0,0.5,1)</f>
        <v>1</v>
      </c>
      <c r="K9" s="15">
        <v>0.5</v>
      </c>
      <c r="L9" s="15">
        <f t="shared" si="0"/>
        <v>1</v>
      </c>
      <c r="M9" s="15">
        <v>0.5</v>
      </c>
      <c r="N9" s="15">
        <f t="shared" si="0"/>
        <v>1</v>
      </c>
      <c r="O9" s="15">
        <v>0.5</v>
      </c>
    </row>
    <row r="10" spans="1:15" x14ac:dyDescent="0.25">
      <c r="A10" s="14">
        <v>2</v>
      </c>
      <c r="B10" s="27">
        <v>0</v>
      </c>
      <c r="C10" s="27">
        <v>0</v>
      </c>
      <c r="D10" s="27">
        <v>0</v>
      </c>
      <c r="E10" s="27">
        <v>0</v>
      </c>
      <c r="F10" s="27">
        <v>0</v>
      </c>
      <c r="G10" s="27">
        <v>0</v>
      </c>
      <c r="I10" s="14">
        <v>2</v>
      </c>
      <c r="J10" s="15">
        <f t="shared" si="0"/>
        <v>0.5</v>
      </c>
      <c r="K10" s="15">
        <v>0.5</v>
      </c>
      <c r="L10" s="15">
        <f t="shared" si="0"/>
        <v>0.5</v>
      </c>
      <c r="M10" s="15">
        <v>0.5</v>
      </c>
      <c r="N10" s="15">
        <f t="shared" si="0"/>
        <v>0.5</v>
      </c>
      <c r="O10" s="15">
        <v>0.5</v>
      </c>
    </row>
    <row r="11" spans="1:15" x14ac:dyDescent="0.25">
      <c r="A11" s="14">
        <v>3</v>
      </c>
      <c r="B11" s="27" t="s">
        <v>19</v>
      </c>
      <c r="C11" s="27" t="s">
        <v>19</v>
      </c>
      <c r="D11" s="27">
        <v>0</v>
      </c>
      <c r="E11" s="27">
        <v>0</v>
      </c>
      <c r="F11" s="27" t="s">
        <v>19</v>
      </c>
      <c r="G11" s="27" t="s">
        <v>19</v>
      </c>
      <c r="I11" s="14">
        <v>3</v>
      </c>
      <c r="J11" s="15">
        <f t="shared" si="0"/>
        <v>1</v>
      </c>
      <c r="K11" s="15">
        <v>0</v>
      </c>
      <c r="L11" s="15">
        <f t="shared" si="0"/>
        <v>0.5</v>
      </c>
      <c r="M11" s="15">
        <v>0.5</v>
      </c>
      <c r="N11" s="15">
        <f t="shared" si="0"/>
        <v>1</v>
      </c>
      <c r="O11" s="15">
        <v>0</v>
      </c>
    </row>
    <row r="12" spans="1:15" x14ac:dyDescent="0.25">
      <c r="A12" s="14">
        <v>4</v>
      </c>
      <c r="B12" s="27">
        <v>0</v>
      </c>
      <c r="C12" s="27">
        <v>0</v>
      </c>
      <c r="D12" s="27">
        <v>0</v>
      </c>
      <c r="E12" s="27">
        <v>0</v>
      </c>
      <c r="F12" s="27">
        <v>0</v>
      </c>
      <c r="G12" s="27" t="s">
        <v>20</v>
      </c>
      <c r="I12" s="14">
        <v>4</v>
      </c>
      <c r="J12" s="15">
        <f t="shared" si="0"/>
        <v>0.5</v>
      </c>
      <c r="K12" s="15">
        <v>0.5</v>
      </c>
      <c r="L12" s="15">
        <f t="shared" si="0"/>
        <v>0.5</v>
      </c>
      <c r="M12" s="15">
        <v>0.5</v>
      </c>
      <c r="N12" s="15">
        <f t="shared" si="0"/>
        <v>0.5</v>
      </c>
      <c r="O12" s="15">
        <v>1</v>
      </c>
    </row>
    <row r="13" spans="1:15" x14ac:dyDescent="0.25">
      <c r="A13" s="14">
        <v>5</v>
      </c>
      <c r="B13" s="27">
        <v>0</v>
      </c>
      <c r="C13" s="27">
        <v>0</v>
      </c>
      <c r="D13" s="27">
        <v>0</v>
      </c>
      <c r="E13" s="27">
        <v>0</v>
      </c>
      <c r="F13" s="27" t="s">
        <v>21</v>
      </c>
      <c r="G13" s="27" t="s">
        <v>22</v>
      </c>
      <c r="I13" s="14">
        <v>5</v>
      </c>
      <c r="J13" s="15">
        <f t="shared" si="0"/>
        <v>0.5</v>
      </c>
      <c r="K13" s="15">
        <v>0.5</v>
      </c>
      <c r="L13" s="15">
        <f t="shared" si="0"/>
        <v>0.5</v>
      </c>
      <c r="M13" s="15">
        <v>0.5</v>
      </c>
      <c r="N13" s="15">
        <f t="shared" si="0"/>
        <v>1</v>
      </c>
      <c r="O13" s="15">
        <v>1</v>
      </c>
    </row>
    <row r="14" spans="1:15" x14ac:dyDescent="0.25">
      <c r="A14" s="14">
        <v>6</v>
      </c>
      <c r="B14" s="27">
        <v>0</v>
      </c>
      <c r="C14" s="27">
        <v>0</v>
      </c>
      <c r="D14" s="27">
        <v>0</v>
      </c>
      <c r="E14" s="27" t="s">
        <v>23</v>
      </c>
      <c r="F14" s="27">
        <v>0</v>
      </c>
      <c r="G14" s="27">
        <v>0</v>
      </c>
      <c r="I14" s="14">
        <v>6</v>
      </c>
      <c r="J14" s="15">
        <f>IF(B14=0,0.5,1)</f>
        <v>0.5</v>
      </c>
      <c r="K14" s="15">
        <v>0.5</v>
      </c>
      <c r="L14" s="15">
        <f t="shared" si="0"/>
        <v>0.5</v>
      </c>
      <c r="M14" s="15">
        <v>1</v>
      </c>
      <c r="N14" s="15">
        <f t="shared" si="0"/>
        <v>0.5</v>
      </c>
      <c r="O14" s="15">
        <v>0.5</v>
      </c>
    </row>
    <row r="15" spans="1:15" x14ac:dyDescent="0.25">
      <c r="A15" s="14">
        <v>7</v>
      </c>
      <c r="B15" s="27">
        <v>0</v>
      </c>
      <c r="C15" s="27">
        <v>0</v>
      </c>
      <c r="D15" s="27">
        <v>0</v>
      </c>
      <c r="E15" s="27" t="s">
        <v>24</v>
      </c>
      <c r="F15" s="27">
        <v>0</v>
      </c>
      <c r="G15" s="27">
        <v>0</v>
      </c>
      <c r="I15" s="14">
        <v>7</v>
      </c>
      <c r="J15" s="15">
        <f t="shared" ref="J15:J78" si="1">IF(B15=0,0.5,1)</f>
        <v>0.5</v>
      </c>
      <c r="K15" s="15">
        <v>0.5</v>
      </c>
      <c r="L15" s="15">
        <f t="shared" si="0"/>
        <v>0.5</v>
      </c>
      <c r="M15" s="15">
        <v>1</v>
      </c>
      <c r="N15" s="15">
        <f t="shared" si="0"/>
        <v>0.5</v>
      </c>
      <c r="O15" s="15">
        <v>0.5</v>
      </c>
    </row>
    <row r="16" spans="1:15" x14ac:dyDescent="0.25">
      <c r="A16" s="14">
        <v>8</v>
      </c>
      <c r="B16" s="27">
        <v>0</v>
      </c>
      <c r="C16" s="27">
        <v>0</v>
      </c>
      <c r="D16" s="27">
        <v>0</v>
      </c>
      <c r="E16" s="27">
        <v>0</v>
      </c>
      <c r="F16" s="27">
        <v>0</v>
      </c>
      <c r="G16" s="27">
        <v>0</v>
      </c>
      <c r="I16" s="14">
        <v>8</v>
      </c>
      <c r="J16" s="15">
        <f t="shared" si="1"/>
        <v>0.5</v>
      </c>
      <c r="K16" s="15">
        <v>0.5</v>
      </c>
      <c r="L16" s="15">
        <f t="shared" si="0"/>
        <v>0.5</v>
      </c>
      <c r="M16" s="15">
        <v>0.5</v>
      </c>
      <c r="N16" s="15">
        <f t="shared" si="0"/>
        <v>0.5</v>
      </c>
      <c r="O16" s="15">
        <v>0.5</v>
      </c>
    </row>
    <row r="17" spans="1:15" x14ac:dyDescent="0.25">
      <c r="A17" s="14">
        <v>9</v>
      </c>
      <c r="B17" s="27">
        <v>0</v>
      </c>
      <c r="C17" s="27">
        <v>0</v>
      </c>
      <c r="D17" s="27">
        <v>0</v>
      </c>
      <c r="E17" s="27">
        <v>0</v>
      </c>
      <c r="F17" s="27">
        <v>0</v>
      </c>
      <c r="G17" s="27">
        <v>0</v>
      </c>
      <c r="I17" s="14">
        <v>9</v>
      </c>
      <c r="J17" s="15">
        <f t="shared" si="1"/>
        <v>0.5</v>
      </c>
      <c r="K17" s="15">
        <v>0.5</v>
      </c>
      <c r="L17" s="15">
        <f t="shared" si="0"/>
        <v>0.5</v>
      </c>
      <c r="M17" s="15">
        <v>0.5</v>
      </c>
      <c r="N17" s="15">
        <f t="shared" si="0"/>
        <v>0.5</v>
      </c>
      <c r="O17" s="15">
        <v>0.5</v>
      </c>
    </row>
    <row r="18" spans="1:15" x14ac:dyDescent="0.25">
      <c r="A18" s="14">
        <v>10</v>
      </c>
      <c r="B18" s="27" t="s">
        <v>25</v>
      </c>
      <c r="C18" s="27" t="s">
        <v>26</v>
      </c>
      <c r="D18" s="27" t="s">
        <v>27</v>
      </c>
      <c r="E18" s="27" t="s">
        <v>28</v>
      </c>
      <c r="F18" s="27" t="s">
        <v>29</v>
      </c>
      <c r="G18" s="27">
        <v>0</v>
      </c>
      <c r="I18" s="14">
        <v>10</v>
      </c>
      <c r="J18" s="15">
        <f t="shared" si="1"/>
        <v>1</v>
      </c>
      <c r="K18" s="15">
        <v>1</v>
      </c>
      <c r="L18" s="15">
        <f t="shared" si="0"/>
        <v>1</v>
      </c>
      <c r="M18" s="15">
        <v>0</v>
      </c>
      <c r="N18" s="15">
        <f t="shared" si="0"/>
        <v>1</v>
      </c>
      <c r="O18" s="15">
        <v>0.5</v>
      </c>
    </row>
    <row r="19" spans="1:15" x14ac:dyDescent="0.25">
      <c r="A19" s="14">
        <v>11</v>
      </c>
      <c r="B19" s="27" t="s">
        <v>30</v>
      </c>
      <c r="C19" s="27" t="s">
        <v>30</v>
      </c>
      <c r="D19" s="27" t="s">
        <v>30</v>
      </c>
      <c r="E19" s="27" t="s">
        <v>30</v>
      </c>
      <c r="F19" s="27" t="s">
        <v>30</v>
      </c>
      <c r="G19" s="27">
        <v>0</v>
      </c>
      <c r="I19" s="14">
        <v>11</v>
      </c>
      <c r="J19" s="15">
        <f t="shared" si="1"/>
        <v>1</v>
      </c>
      <c r="K19" s="15">
        <v>0</v>
      </c>
      <c r="L19" s="15">
        <f t="shared" si="0"/>
        <v>1</v>
      </c>
      <c r="M19" s="15">
        <v>0</v>
      </c>
      <c r="N19" s="15">
        <f t="shared" si="0"/>
        <v>1</v>
      </c>
      <c r="O19" s="15">
        <v>0.5</v>
      </c>
    </row>
    <row r="20" spans="1:15" x14ac:dyDescent="0.25">
      <c r="A20" s="14">
        <v>12</v>
      </c>
      <c r="B20" s="27">
        <v>976</v>
      </c>
      <c r="C20" s="27">
        <v>976</v>
      </c>
      <c r="D20" s="27">
        <v>976</v>
      </c>
      <c r="E20" s="27">
        <v>976</v>
      </c>
      <c r="F20" s="27">
        <v>976</v>
      </c>
      <c r="G20" s="27">
        <v>0</v>
      </c>
      <c r="I20" s="14">
        <v>12</v>
      </c>
      <c r="J20" s="15">
        <f t="shared" si="1"/>
        <v>1</v>
      </c>
      <c r="K20" s="15">
        <v>0</v>
      </c>
      <c r="L20" s="15">
        <f t="shared" si="0"/>
        <v>1</v>
      </c>
      <c r="M20" s="15">
        <v>0</v>
      </c>
      <c r="N20" s="15">
        <f t="shared" si="0"/>
        <v>1</v>
      </c>
      <c r="O20" s="15">
        <v>0.5</v>
      </c>
    </row>
    <row r="21" spans="1:15" x14ac:dyDescent="0.25">
      <c r="A21" s="14">
        <v>13</v>
      </c>
      <c r="B21" s="27" t="s">
        <v>31</v>
      </c>
      <c r="C21" s="27" t="s">
        <v>31</v>
      </c>
      <c r="D21" s="27" t="s">
        <v>31</v>
      </c>
      <c r="E21" s="27" t="s">
        <v>31</v>
      </c>
      <c r="F21" s="27" t="s">
        <v>31</v>
      </c>
      <c r="G21" s="27">
        <v>0</v>
      </c>
      <c r="I21" s="14">
        <v>13</v>
      </c>
      <c r="J21" s="15">
        <f t="shared" si="1"/>
        <v>1</v>
      </c>
      <c r="K21" s="15">
        <v>0</v>
      </c>
      <c r="L21" s="15">
        <f t="shared" si="0"/>
        <v>1</v>
      </c>
      <c r="M21" s="15">
        <v>0</v>
      </c>
      <c r="N21" s="15">
        <f t="shared" si="0"/>
        <v>1</v>
      </c>
      <c r="O21" s="15">
        <v>0.5</v>
      </c>
    </row>
    <row r="22" spans="1:15" x14ac:dyDescent="0.25">
      <c r="A22" s="14">
        <v>14</v>
      </c>
      <c r="B22" s="27">
        <v>268</v>
      </c>
      <c r="C22" s="27">
        <v>268</v>
      </c>
      <c r="D22" s="27">
        <v>268</v>
      </c>
      <c r="E22" s="27">
        <v>268</v>
      </c>
      <c r="F22" s="27">
        <v>268</v>
      </c>
      <c r="G22" s="27">
        <v>0</v>
      </c>
      <c r="I22" s="14">
        <v>14</v>
      </c>
      <c r="J22" s="15">
        <f t="shared" si="1"/>
        <v>1</v>
      </c>
      <c r="K22" s="15">
        <v>0</v>
      </c>
      <c r="L22" s="15">
        <f t="shared" si="0"/>
        <v>1</v>
      </c>
      <c r="M22" s="15">
        <v>0</v>
      </c>
      <c r="N22" s="15">
        <f t="shared" si="0"/>
        <v>1</v>
      </c>
      <c r="O22" s="15">
        <v>0.5</v>
      </c>
    </row>
    <row r="23" spans="1:15" x14ac:dyDescent="0.25">
      <c r="A23" s="14">
        <v>15</v>
      </c>
      <c r="B23" s="27" t="s">
        <v>32</v>
      </c>
      <c r="C23" s="27" t="s">
        <v>32</v>
      </c>
      <c r="D23" s="27" t="s">
        <v>32</v>
      </c>
      <c r="E23" s="27" t="s">
        <v>32</v>
      </c>
      <c r="F23" s="27">
        <v>0</v>
      </c>
      <c r="G23" s="27">
        <v>0</v>
      </c>
      <c r="I23" s="14">
        <v>15</v>
      </c>
      <c r="J23" s="15">
        <f t="shared" si="1"/>
        <v>1</v>
      </c>
      <c r="K23" s="15">
        <v>0</v>
      </c>
      <c r="L23" s="15">
        <f t="shared" si="0"/>
        <v>1</v>
      </c>
      <c r="M23" s="15">
        <v>0</v>
      </c>
      <c r="N23" s="15">
        <f t="shared" si="0"/>
        <v>0.5</v>
      </c>
      <c r="O23" s="15">
        <v>0.5</v>
      </c>
    </row>
    <row r="24" spans="1:15" x14ac:dyDescent="0.25">
      <c r="A24" s="14">
        <v>16</v>
      </c>
      <c r="B24" s="27" t="s">
        <v>33</v>
      </c>
      <c r="C24" s="27" t="s">
        <v>33</v>
      </c>
      <c r="D24" s="27" t="s">
        <v>34</v>
      </c>
      <c r="E24" s="27" t="s">
        <v>34</v>
      </c>
      <c r="F24" s="27">
        <v>0</v>
      </c>
      <c r="G24" s="27">
        <v>0</v>
      </c>
      <c r="I24" s="14">
        <v>16</v>
      </c>
      <c r="J24" s="15">
        <f t="shared" si="1"/>
        <v>1</v>
      </c>
      <c r="K24" s="15">
        <v>0</v>
      </c>
      <c r="L24" s="15">
        <f t="shared" si="0"/>
        <v>1</v>
      </c>
      <c r="M24" s="15">
        <v>0</v>
      </c>
      <c r="N24" s="15">
        <f t="shared" si="0"/>
        <v>0.5</v>
      </c>
      <c r="O24" s="15">
        <v>0.5</v>
      </c>
    </row>
    <row r="25" spans="1:15" x14ac:dyDescent="0.25">
      <c r="A25" s="14">
        <v>17</v>
      </c>
      <c r="B25" s="27" t="s">
        <v>35</v>
      </c>
      <c r="C25" s="27" t="s">
        <v>35</v>
      </c>
      <c r="D25" s="27" t="s">
        <v>36</v>
      </c>
      <c r="E25" s="27" t="s">
        <v>36</v>
      </c>
      <c r="F25" s="27">
        <v>0</v>
      </c>
      <c r="G25" s="27">
        <v>0</v>
      </c>
      <c r="I25" s="14">
        <v>17</v>
      </c>
      <c r="J25" s="15">
        <f t="shared" si="1"/>
        <v>1</v>
      </c>
      <c r="K25" s="15">
        <v>0</v>
      </c>
      <c r="L25" s="15">
        <f t="shared" ref="L25:L88" si="2">IF(D25=0,0.5,1)</f>
        <v>1</v>
      </c>
      <c r="M25" s="15">
        <v>0</v>
      </c>
      <c r="N25" s="15">
        <f t="shared" ref="N25:N88" si="3">IF(F25=0,0.5,1)</f>
        <v>0.5</v>
      </c>
      <c r="O25" s="15">
        <v>0.5</v>
      </c>
    </row>
    <row r="26" spans="1:15" x14ac:dyDescent="0.25">
      <c r="A26" s="14">
        <v>18</v>
      </c>
      <c r="B26" s="27" t="s">
        <v>37</v>
      </c>
      <c r="C26" s="27">
        <v>0</v>
      </c>
      <c r="D26" s="27">
        <v>0</v>
      </c>
      <c r="E26" s="27">
        <v>0</v>
      </c>
      <c r="F26" s="27" t="s">
        <v>38</v>
      </c>
      <c r="G26" s="27">
        <v>0</v>
      </c>
      <c r="I26" s="14">
        <v>18</v>
      </c>
      <c r="J26" s="15">
        <f t="shared" si="1"/>
        <v>1</v>
      </c>
      <c r="K26" s="15">
        <v>0.5</v>
      </c>
      <c r="L26" s="15">
        <f t="shared" si="2"/>
        <v>0.5</v>
      </c>
      <c r="M26" s="15">
        <v>0.5</v>
      </c>
      <c r="N26" s="15">
        <f t="shared" si="3"/>
        <v>1</v>
      </c>
      <c r="O26" s="15">
        <v>0.5</v>
      </c>
    </row>
    <row r="27" spans="1:15" x14ac:dyDescent="0.25">
      <c r="A27" s="14">
        <v>19</v>
      </c>
      <c r="B27" s="27" t="s">
        <v>39</v>
      </c>
      <c r="C27" s="27" t="s">
        <v>39</v>
      </c>
      <c r="D27" s="27" t="s">
        <v>40</v>
      </c>
      <c r="E27" s="27" t="s">
        <v>40</v>
      </c>
      <c r="F27" s="27">
        <v>0</v>
      </c>
      <c r="G27" s="27">
        <v>0</v>
      </c>
      <c r="I27" s="14">
        <v>19</v>
      </c>
      <c r="J27" s="15">
        <f t="shared" si="1"/>
        <v>1</v>
      </c>
      <c r="K27" s="15">
        <v>0</v>
      </c>
      <c r="L27" s="15">
        <f t="shared" si="2"/>
        <v>1</v>
      </c>
      <c r="M27" s="15">
        <v>0</v>
      </c>
      <c r="N27" s="15">
        <f t="shared" si="3"/>
        <v>0.5</v>
      </c>
      <c r="O27" s="15">
        <v>0.5</v>
      </c>
    </row>
    <row r="28" spans="1:15" x14ac:dyDescent="0.25">
      <c r="A28" s="14">
        <v>20</v>
      </c>
      <c r="B28" s="27" t="s">
        <v>41</v>
      </c>
      <c r="C28" s="27" t="s">
        <v>41</v>
      </c>
      <c r="D28" s="27" t="s">
        <v>42</v>
      </c>
      <c r="E28" s="27" t="s">
        <v>42</v>
      </c>
      <c r="F28" s="27">
        <v>0</v>
      </c>
      <c r="G28" s="27">
        <v>0</v>
      </c>
      <c r="I28" s="14">
        <v>20</v>
      </c>
      <c r="J28" s="15">
        <f t="shared" si="1"/>
        <v>1</v>
      </c>
      <c r="K28" s="15">
        <v>0</v>
      </c>
      <c r="L28" s="15">
        <f t="shared" si="2"/>
        <v>1</v>
      </c>
      <c r="M28" s="15">
        <v>0</v>
      </c>
      <c r="N28" s="15">
        <f t="shared" si="3"/>
        <v>0.5</v>
      </c>
      <c r="O28" s="15">
        <v>0.5</v>
      </c>
    </row>
    <row r="29" spans="1:15" x14ac:dyDescent="0.25">
      <c r="A29" s="14">
        <v>21</v>
      </c>
      <c r="B29" s="27" t="s">
        <v>43</v>
      </c>
      <c r="C29" s="27" t="s">
        <v>43</v>
      </c>
      <c r="D29" s="27" t="s">
        <v>43</v>
      </c>
      <c r="E29" s="27" t="s">
        <v>43</v>
      </c>
      <c r="F29" s="27">
        <v>0</v>
      </c>
      <c r="G29" s="27">
        <v>0</v>
      </c>
      <c r="I29" s="14">
        <v>21</v>
      </c>
      <c r="J29" s="15">
        <f t="shared" si="1"/>
        <v>1</v>
      </c>
      <c r="K29" s="15">
        <v>0</v>
      </c>
      <c r="L29" s="15">
        <f t="shared" si="2"/>
        <v>1</v>
      </c>
      <c r="M29" s="15">
        <v>0</v>
      </c>
      <c r="N29" s="15">
        <f t="shared" si="3"/>
        <v>0.5</v>
      </c>
      <c r="O29" s="15">
        <v>0.5</v>
      </c>
    </row>
    <row r="30" spans="1:15" x14ac:dyDescent="0.25">
      <c r="A30" s="14">
        <v>22</v>
      </c>
      <c r="B30" s="27" t="s">
        <v>44</v>
      </c>
      <c r="C30" s="27" t="s">
        <v>44</v>
      </c>
      <c r="D30" s="27" t="s">
        <v>44</v>
      </c>
      <c r="E30" s="27" t="s">
        <v>44</v>
      </c>
      <c r="F30" s="27" t="s">
        <v>44</v>
      </c>
      <c r="G30" s="27">
        <v>0</v>
      </c>
      <c r="I30" s="14">
        <v>22</v>
      </c>
      <c r="J30" s="15">
        <f t="shared" si="1"/>
        <v>1</v>
      </c>
      <c r="K30" s="15">
        <v>0</v>
      </c>
      <c r="L30" s="15">
        <f t="shared" si="2"/>
        <v>1</v>
      </c>
      <c r="M30" s="15">
        <v>0</v>
      </c>
      <c r="N30" s="15">
        <f t="shared" si="3"/>
        <v>1</v>
      </c>
      <c r="O30" s="15">
        <v>0.5</v>
      </c>
    </row>
    <row r="31" spans="1:15" x14ac:dyDescent="0.25">
      <c r="A31" s="14">
        <v>23</v>
      </c>
      <c r="B31" s="27" t="s">
        <v>45</v>
      </c>
      <c r="C31" s="27" t="s">
        <v>45</v>
      </c>
      <c r="D31" s="27" t="s">
        <v>46</v>
      </c>
      <c r="E31" s="27" t="s">
        <v>46</v>
      </c>
      <c r="F31" s="27" t="s">
        <v>46</v>
      </c>
      <c r="G31" s="27">
        <v>0</v>
      </c>
      <c r="I31" s="14">
        <v>23</v>
      </c>
      <c r="J31" s="15">
        <f t="shared" si="1"/>
        <v>1</v>
      </c>
      <c r="K31" s="15">
        <v>0</v>
      </c>
      <c r="L31" s="15">
        <f t="shared" si="2"/>
        <v>1</v>
      </c>
      <c r="M31" s="15">
        <v>0</v>
      </c>
      <c r="N31" s="15">
        <f t="shared" si="3"/>
        <v>1</v>
      </c>
      <c r="O31" s="15">
        <v>0.5</v>
      </c>
    </row>
    <row r="32" spans="1:15" x14ac:dyDescent="0.25">
      <c r="A32" s="14">
        <v>24</v>
      </c>
      <c r="B32" s="27" t="s">
        <v>47</v>
      </c>
      <c r="C32" s="27" t="s">
        <v>47</v>
      </c>
      <c r="D32" s="27" t="s">
        <v>47</v>
      </c>
      <c r="E32" s="27" t="s">
        <v>47</v>
      </c>
      <c r="F32" s="27">
        <v>0</v>
      </c>
      <c r="G32" s="27">
        <v>0</v>
      </c>
      <c r="I32" s="14">
        <v>24</v>
      </c>
      <c r="J32" s="15">
        <f t="shared" si="1"/>
        <v>1</v>
      </c>
      <c r="K32" s="15">
        <v>0</v>
      </c>
      <c r="L32" s="15">
        <f t="shared" si="2"/>
        <v>1</v>
      </c>
      <c r="M32" s="15">
        <v>0</v>
      </c>
      <c r="N32" s="15">
        <f t="shared" si="3"/>
        <v>0.5</v>
      </c>
      <c r="O32" s="15">
        <v>0.5</v>
      </c>
    </row>
    <row r="33" spans="1:15" x14ac:dyDescent="0.25">
      <c r="A33" s="14">
        <v>25</v>
      </c>
      <c r="B33" s="27" t="s">
        <v>48</v>
      </c>
      <c r="C33" s="27">
        <v>0</v>
      </c>
      <c r="D33" s="27">
        <v>0</v>
      </c>
      <c r="E33" s="27">
        <v>0</v>
      </c>
      <c r="F33" s="27">
        <v>808</v>
      </c>
      <c r="G33" s="27">
        <v>0</v>
      </c>
      <c r="I33" s="14">
        <v>25</v>
      </c>
      <c r="J33" s="15">
        <f t="shared" si="1"/>
        <v>1</v>
      </c>
      <c r="K33" s="15">
        <v>0.5</v>
      </c>
      <c r="L33" s="15">
        <f t="shared" si="2"/>
        <v>0.5</v>
      </c>
      <c r="M33" s="15">
        <v>0.5</v>
      </c>
      <c r="N33" s="15">
        <f t="shared" si="3"/>
        <v>1</v>
      </c>
      <c r="O33" s="15">
        <v>0.5</v>
      </c>
    </row>
    <row r="34" spans="1:15" x14ac:dyDescent="0.25">
      <c r="A34" s="14">
        <v>26</v>
      </c>
      <c r="B34" s="27">
        <v>101</v>
      </c>
      <c r="C34" s="27">
        <v>0</v>
      </c>
      <c r="D34" s="27">
        <v>0</v>
      </c>
      <c r="E34" s="27">
        <v>0</v>
      </c>
      <c r="F34" s="27">
        <v>0</v>
      </c>
      <c r="G34" s="27">
        <v>0</v>
      </c>
      <c r="I34" s="14">
        <v>26</v>
      </c>
      <c r="J34" s="15">
        <f t="shared" si="1"/>
        <v>1</v>
      </c>
      <c r="K34" s="15">
        <v>0.5</v>
      </c>
      <c r="L34" s="15">
        <f t="shared" si="2"/>
        <v>0.5</v>
      </c>
      <c r="M34" s="15">
        <v>0.5</v>
      </c>
      <c r="N34" s="15">
        <f t="shared" si="3"/>
        <v>0.5</v>
      </c>
      <c r="O34" s="15">
        <v>0.5</v>
      </c>
    </row>
    <row r="35" spans="1:15" x14ac:dyDescent="0.25">
      <c r="A35" s="14">
        <v>27</v>
      </c>
      <c r="B35" s="27" t="s">
        <v>49</v>
      </c>
      <c r="C35" s="27" t="s">
        <v>49</v>
      </c>
      <c r="D35" s="27" t="s">
        <v>49</v>
      </c>
      <c r="E35" s="27" t="s">
        <v>49</v>
      </c>
      <c r="F35" s="27" t="s">
        <v>49</v>
      </c>
      <c r="G35" s="27" t="s">
        <v>49</v>
      </c>
      <c r="I35" s="14">
        <v>27</v>
      </c>
      <c r="J35" s="15">
        <f t="shared" si="1"/>
        <v>1</v>
      </c>
      <c r="K35" s="15">
        <v>0</v>
      </c>
      <c r="L35" s="15">
        <f t="shared" si="2"/>
        <v>1</v>
      </c>
      <c r="M35" s="15">
        <v>0</v>
      </c>
      <c r="N35" s="15">
        <f t="shared" si="3"/>
        <v>1</v>
      </c>
      <c r="O35" s="15">
        <v>0</v>
      </c>
    </row>
    <row r="36" spans="1:15" x14ac:dyDescent="0.25">
      <c r="A36" s="14">
        <v>28</v>
      </c>
      <c r="B36" s="27" t="s">
        <v>50</v>
      </c>
      <c r="C36" s="27" t="s">
        <v>50</v>
      </c>
      <c r="D36" s="27" t="s">
        <v>51</v>
      </c>
      <c r="E36" s="27" t="s">
        <v>51</v>
      </c>
      <c r="F36" s="27" t="s">
        <v>51</v>
      </c>
      <c r="G36" s="27">
        <v>0</v>
      </c>
      <c r="I36" s="14">
        <v>28</v>
      </c>
      <c r="J36" s="15">
        <f t="shared" si="1"/>
        <v>1</v>
      </c>
      <c r="K36" s="15">
        <v>0</v>
      </c>
      <c r="L36" s="15">
        <f t="shared" si="2"/>
        <v>1</v>
      </c>
      <c r="M36" s="15">
        <v>0</v>
      </c>
      <c r="N36" s="15">
        <f t="shared" si="3"/>
        <v>1</v>
      </c>
      <c r="O36" s="15">
        <v>0.5</v>
      </c>
    </row>
    <row r="37" spans="1:15" x14ac:dyDescent="0.25">
      <c r="A37" s="14">
        <v>29</v>
      </c>
      <c r="B37" s="27" t="s">
        <v>52</v>
      </c>
      <c r="C37" s="27" t="s">
        <v>52</v>
      </c>
      <c r="D37" s="27" t="s">
        <v>52</v>
      </c>
      <c r="E37" s="27" t="s">
        <v>52</v>
      </c>
      <c r="F37" s="27" t="s">
        <v>52</v>
      </c>
      <c r="G37" s="27">
        <v>0</v>
      </c>
      <c r="I37" s="14">
        <v>29</v>
      </c>
      <c r="J37" s="15">
        <f t="shared" si="1"/>
        <v>1</v>
      </c>
      <c r="K37" s="15">
        <v>0</v>
      </c>
      <c r="L37" s="15">
        <f t="shared" si="2"/>
        <v>1</v>
      </c>
      <c r="M37" s="15">
        <v>0</v>
      </c>
      <c r="N37" s="15">
        <f t="shared" si="3"/>
        <v>1</v>
      </c>
      <c r="O37" s="15">
        <v>0.5</v>
      </c>
    </row>
    <row r="38" spans="1:15" x14ac:dyDescent="0.25">
      <c r="A38" s="14">
        <v>30</v>
      </c>
      <c r="B38" s="27" t="s">
        <v>53</v>
      </c>
      <c r="C38" s="27" t="s">
        <v>53</v>
      </c>
      <c r="D38" s="27" t="s">
        <v>53</v>
      </c>
      <c r="E38" s="27" t="s">
        <v>53</v>
      </c>
      <c r="F38" s="27">
        <v>0</v>
      </c>
      <c r="G38" s="27">
        <v>0</v>
      </c>
      <c r="I38" s="14">
        <v>30</v>
      </c>
      <c r="J38" s="15">
        <f t="shared" si="1"/>
        <v>1</v>
      </c>
      <c r="K38" s="15">
        <v>0</v>
      </c>
      <c r="L38" s="15">
        <f t="shared" si="2"/>
        <v>1</v>
      </c>
      <c r="M38" s="15">
        <v>0</v>
      </c>
      <c r="N38" s="15">
        <f t="shared" si="3"/>
        <v>0.5</v>
      </c>
      <c r="O38" s="15">
        <v>0.5</v>
      </c>
    </row>
    <row r="39" spans="1:15" x14ac:dyDescent="0.25">
      <c r="A39" s="14">
        <v>31</v>
      </c>
      <c r="B39" s="27" t="s">
        <v>54</v>
      </c>
      <c r="C39" s="27" t="s">
        <v>54</v>
      </c>
      <c r="D39" s="27">
        <v>0</v>
      </c>
      <c r="E39" s="27" t="s">
        <v>55</v>
      </c>
      <c r="F39" s="27" t="s">
        <v>56</v>
      </c>
      <c r="G39" s="27">
        <v>0</v>
      </c>
      <c r="I39" s="14">
        <v>31</v>
      </c>
      <c r="J39" s="15">
        <f t="shared" si="1"/>
        <v>1</v>
      </c>
      <c r="K39" s="15">
        <v>0</v>
      </c>
      <c r="L39" s="15">
        <f t="shared" si="2"/>
        <v>0.5</v>
      </c>
      <c r="M39" s="15">
        <v>1</v>
      </c>
      <c r="N39" s="15">
        <f t="shared" si="3"/>
        <v>1</v>
      </c>
      <c r="O39" s="15">
        <v>0.5</v>
      </c>
    </row>
    <row r="40" spans="1:15" x14ac:dyDescent="0.25">
      <c r="A40" s="14">
        <v>32</v>
      </c>
      <c r="B40" s="27" t="s">
        <v>57</v>
      </c>
      <c r="C40" s="27" t="s">
        <v>57</v>
      </c>
      <c r="D40" s="27" t="s">
        <v>57</v>
      </c>
      <c r="E40" s="27" t="s">
        <v>57</v>
      </c>
      <c r="F40" s="27" t="s">
        <v>57</v>
      </c>
      <c r="G40" s="27">
        <v>0</v>
      </c>
      <c r="I40" s="14">
        <v>32</v>
      </c>
      <c r="J40" s="15">
        <f t="shared" si="1"/>
        <v>1</v>
      </c>
      <c r="K40" s="15">
        <v>0</v>
      </c>
      <c r="L40" s="15">
        <f t="shared" si="2"/>
        <v>1</v>
      </c>
      <c r="M40" s="15">
        <v>0</v>
      </c>
      <c r="N40" s="15">
        <f t="shared" si="3"/>
        <v>1</v>
      </c>
      <c r="O40" s="15">
        <v>0.5</v>
      </c>
    </row>
    <row r="41" spans="1:15" x14ac:dyDescent="0.25">
      <c r="A41" s="14">
        <v>33</v>
      </c>
      <c r="B41" s="27" t="s">
        <v>58</v>
      </c>
      <c r="C41" s="27">
        <v>0</v>
      </c>
      <c r="D41" s="27">
        <v>0</v>
      </c>
      <c r="E41" s="27">
        <v>0</v>
      </c>
      <c r="F41" s="27" t="s">
        <v>59</v>
      </c>
      <c r="G41" s="27">
        <v>0</v>
      </c>
      <c r="I41" s="14">
        <v>33</v>
      </c>
      <c r="J41" s="15">
        <f t="shared" si="1"/>
        <v>1</v>
      </c>
      <c r="K41" s="15">
        <v>0.5</v>
      </c>
      <c r="L41" s="15">
        <f t="shared" si="2"/>
        <v>0.5</v>
      </c>
      <c r="M41" s="15">
        <v>0.5</v>
      </c>
      <c r="N41" s="15">
        <f t="shared" si="3"/>
        <v>1</v>
      </c>
      <c r="O41" s="15">
        <v>0.5</v>
      </c>
    </row>
    <row r="42" spans="1:15" x14ac:dyDescent="0.25">
      <c r="A42" s="14">
        <v>34</v>
      </c>
      <c r="B42" s="27" t="s">
        <v>60</v>
      </c>
      <c r="C42" s="27" t="s">
        <v>60</v>
      </c>
      <c r="D42" s="27" t="s">
        <v>60</v>
      </c>
      <c r="E42" s="27" t="s">
        <v>60</v>
      </c>
      <c r="F42" s="27" t="s">
        <v>21</v>
      </c>
      <c r="G42" s="27" t="s">
        <v>21</v>
      </c>
      <c r="I42" s="14">
        <v>34</v>
      </c>
      <c r="J42" s="15">
        <f t="shared" si="1"/>
        <v>1</v>
      </c>
      <c r="K42" s="15">
        <v>0</v>
      </c>
      <c r="L42" s="15">
        <f t="shared" si="2"/>
        <v>1</v>
      </c>
      <c r="M42" s="15">
        <v>0</v>
      </c>
      <c r="N42" s="15">
        <f t="shared" si="3"/>
        <v>1</v>
      </c>
      <c r="O42" s="15">
        <v>0</v>
      </c>
    </row>
    <row r="43" spans="1:15" x14ac:dyDescent="0.25">
      <c r="A43" s="14">
        <v>35</v>
      </c>
      <c r="B43" s="27" t="s">
        <v>61</v>
      </c>
      <c r="C43" s="27" t="s">
        <v>61</v>
      </c>
      <c r="D43" s="27" t="s">
        <v>62</v>
      </c>
      <c r="E43" s="27" t="s">
        <v>62</v>
      </c>
      <c r="F43" s="27" t="s">
        <v>62</v>
      </c>
      <c r="G43" s="27" t="s">
        <v>62</v>
      </c>
      <c r="I43" s="14">
        <v>35</v>
      </c>
      <c r="J43" s="15">
        <f t="shared" si="1"/>
        <v>1</v>
      </c>
      <c r="K43" s="15">
        <v>0</v>
      </c>
      <c r="L43" s="15">
        <f t="shared" si="2"/>
        <v>1</v>
      </c>
      <c r="M43" s="15">
        <v>0</v>
      </c>
      <c r="N43" s="15">
        <f t="shared" si="3"/>
        <v>1</v>
      </c>
      <c r="O43" s="15">
        <v>0</v>
      </c>
    </row>
    <row r="44" spans="1:15" x14ac:dyDescent="0.25">
      <c r="A44" s="14">
        <v>36</v>
      </c>
      <c r="B44" s="27">
        <v>0</v>
      </c>
      <c r="C44" s="27">
        <v>0</v>
      </c>
      <c r="D44" s="27">
        <v>0</v>
      </c>
      <c r="E44" s="27">
        <v>0</v>
      </c>
      <c r="F44" s="27">
        <v>0</v>
      </c>
      <c r="G44" s="27">
        <v>0</v>
      </c>
      <c r="I44" s="14">
        <v>36</v>
      </c>
      <c r="J44" s="15">
        <f t="shared" si="1"/>
        <v>0.5</v>
      </c>
      <c r="K44" s="15">
        <v>0.5</v>
      </c>
      <c r="L44" s="15">
        <f t="shared" si="2"/>
        <v>0.5</v>
      </c>
      <c r="M44" s="15">
        <v>0.5</v>
      </c>
      <c r="N44" s="15">
        <f t="shared" si="3"/>
        <v>0.5</v>
      </c>
      <c r="O44" s="15">
        <v>0.5</v>
      </c>
    </row>
    <row r="45" spans="1:15" x14ac:dyDescent="0.25">
      <c r="A45" s="14">
        <v>37</v>
      </c>
      <c r="B45" s="27">
        <v>0</v>
      </c>
      <c r="C45" s="27">
        <v>0</v>
      </c>
      <c r="D45" s="27">
        <v>0</v>
      </c>
      <c r="E45" s="27">
        <v>0</v>
      </c>
      <c r="F45" s="27">
        <v>0</v>
      </c>
      <c r="G45" s="27">
        <v>0</v>
      </c>
      <c r="I45" s="14">
        <v>37</v>
      </c>
      <c r="J45" s="15">
        <f t="shared" si="1"/>
        <v>0.5</v>
      </c>
      <c r="K45" s="15">
        <v>0.5</v>
      </c>
      <c r="L45" s="15">
        <f t="shared" si="2"/>
        <v>0.5</v>
      </c>
      <c r="M45" s="15">
        <v>0.5</v>
      </c>
      <c r="N45" s="15">
        <f t="shared" si="3"/>
        <v>0.5</v>
      </c>
      <c r="O45" s="15">
        <v>0.5</v>
      </c>
    </row>
    <row r="46" spans="1:15" x14ac:dyDescent="0.25">
      <c r="A46" s="14">
        <v>38</v>
      </c>
      <c r="B46" s="27">
        <v>0</v>
      </c>
      <c r="C46" s="27" t="s">
        <v>63</v>
      </c>
      <c r="D46" s="27">
        <v>0</v>
      </c>
      <c r="E46" s="27">
        <v>0</v>
      </c>
      <c r="F46" s="27" t="s">
        <v>64</v>
      </c>
      <c r="G46" s="27">
        <v>0</v>
      </c>
      <c r="I46" s="14">
        <v>38</v>
      </c>
      <c r="J46" s="15">
        <f t="shared" si="1"/>
        <v>0.5</v>
      </c>
      <c r="K46" s="15">
        <v>1</v>
      </c>
      <c r="L46" s="15">
        <f t="shared" si="2"/>
        <v>0.5</v>
      </c>
      <c r="M46" s="15">
        <v>0.5</v>
      </c>
      <c r="N46" s="15">
        <f t="shared" si="3"/>
        <v>1</v>
      </c>
      <c r="O46" s="15">
        <v>0.5</v>
      </c>
    </row>
    <row r="47" spans="1:15" x14ac:dyDescent="0.25">
      <c r="A47" s="14">
        <v>39</v>
      </c>
      <c r="B47" s="27">
        <v>0</v>
      </c>
      <c r="C47" s="27" t="s">
        <v>17</v>
      </c>
      <c r="D47" s="27">
        <v>0</v>
      </c>
      <c r="E47" s="27">
        <v>0</v>
      </c>
      <c r="F47" s="27" t="s">
        <v>17</v>
      </c>
      <c r="G47" s="27" t="s">
        <v>17</v>
      </c>
      <c r="I47" s="14">
        <v>39</v>
      </c>
      <c r="J47" s="15">
        <f t="shared" si="1"/>
        <v>0.5</v>
      </c>
      <c r="K47" s="15">
        <v>1</v>
      </c>
      <c r="L47" s="15">
        <f t="shared" si="2"/>
        <v>0.5</v>
      </c>
      <c r="M47" s="15">
        <v>0.5</v>
      </c>
      <c r="N47" s="15">
        <f t="shared" si="3"/>
        <v>1</v>
      </c>
      <c r="O47" s="15">
        <v>0</v>
      </c>
    </row>
    <row r="48" spans="1:15" x14ac:dyDescent="0.25">
      <c r="A48" s="14">
        <v>40</v>
      </c>
      <c r="B48" s="27" t="s">
        <v>65</v>
      </c>
      <c r="C48" s="27" t="s">
        <v>65</v>
      </c>
      <c r="D48" s="27" t="s">
        <v>65</v>
      </c>
      <c r="E48" s="27" t="s">
        <v>65</v>
      </c>
      <c r="F48" s="27">
        <v>0</v>
      </c>
      <c r="G48" s="27">
        <v>0</v>
      </c>
      <c r="I48" s="14">
        <v>40</v>
      </c>
      <c r="J48" s="15">
        <f t="shared" si="1"/>
        <v>1</v>
      </c>
      <c r="K48" s="15">
        <v>0</v>
      </c>
      <c r="L48" s="15">
        <f t="shared" si="2"/>
        <v>1</v>
      </c>
      <c r="M48" s="15">
        <v>0</v>
      </c>
      <c r="N48" s="15">
        <f t="shared" si="3"/>
        <v>0.5</v>
      </c>
      <c r="O48" s="15">
        <v>0.5</v>
      </c>
    </row>
    <row r="49" spans="1:15" x14ac:dyDescent="0.25">
      <c r="A49" s="14">
        <v>41</v>
      </c>
      <c r="B49" s="27" t="s">
        <v>66</v>
      </c>
      <c r="C49" s="27" t="s">
        <v>66</v>
      </c>
      <c r="D49" s="27" t="s">
        <v>67</v>
      </c>
      <c r="E49" s="27" t="s">
        <v>67</v>
      </c>
      <c r="F49" s="27">
        <v>0</v>
      </c>
      <c r="G49" s="27">
        <v>0</v>
      </c>
      <c r="I49" s="14">
        <v>41</v>
      </c>
      <c r="J49" s="15">
        <f t="shared" si="1"/>
        <v>1</v>
      </c>
      <c r="K49" s="15">
        <v>0</v>
      </c>
      <c r="L49" s="15">
        <f t="shared" si="2"/>
        <v>1</v>
      </c>
      <c r="M49" s="15">
        <v>0</v>
      </c>
      <c r="N49" s="15">
        <f t="shared" si="3"/>
        <v>0.5</v>
      </c>
      <c r="O49" s="15">
        <v>0.5</v>
      </c>
    </row>
    <row r="50" spans="1:15" x14ac:dyDescent="0.25">
      <c r="A50" s="14">
        <v>42</v>
      </c>
      <c r="B50" s="27" t="s">
        <v>47</v>
      </c>
      <c r="C50" s="27" t="s">
        <v>47</v>
      </c>
      <c r="D50" s="27" t="s">
        <v>47</v>
      </c>
      <c r="E50" s="27" t="s">
        <v>47</v>
      </c>
      <c r="F50" s="27" t="s">
        <v>47</v>
      </c>
      <c r="G50" s="27">
        <v>0</v>
      </c>
      <c r="I50" s="14">
        <v>42</v>
      </c>
      <c r="J50" s="15">
        <f t="shared" si="1"/>
        <v>1</v>
      </c>
      <c r="K50" s="15">
        <v>0</v>
      </c>
      <c r="L50" s="15">
        <f t="shared" si="2"/>
        <v>1</v>
      </c>
      <c r="M50" s="15">
        <v>0</v>
      </c>
      <c r="N50" s="15">
        <f t="shared" si="3"/>
        <v>1</v>
      </c>
      <c r="O50" s="15">
        <v>0.5</v>
      </c>
    </row>
    <row r="51" spans="1:15" x14ac:dyDescent="0.25">
      <c r="A51" s="14">
        <v>43</v>
      </c>
      <c r="B51" s="27" t="s">
        <v>31</v>
      </c>
      <c r="C51" s="27" t="s">
        <v>31</v>
      </c>
      <c r="D51" s="27" t="s">
        <v>68</v>
      </c>
      <c r="E51" s="27" t="s">
        <v>69</v>
      </c>
      <c r="F51" s="27" t="s">
        <v>58</v>
      </c>
      <c r="G51" s="27">
        <v>0</v>
      </c>
      <c r="I51" s="14">
        <v>43</v>
      </c>
      <c r="J51" s="15">
        <f t="shared" si="1"/>
        <v>1</v>
      </c>
      <c r="K51" s="15">
        <v>0</v>
      </c>
      <c r="L51" s="15">
        <f t="shared" si="2"/>
        <v>1</v>
      </c>
      <c r="M51" s="15">
        <v>0</v>
      </c>
      <c r="N51" s="15">
        <f t="shared" si="3"/>
        <v>1</v>
      </c>
      <c r="O51" s="15">
        <v>0.5</v>
      </c>
    </row>
    <row r="52" spans="1:15" x14ac:dyDescent="0.25">
      <c r="A52" s="14">
        <v>44</v>
      </c>
      <c r="B52" s="27" t="s">
        <v>70</v>
      </c>
      <c r="C52" s="27" t="s">
        <v>70</v>
      </c>
      <c r="D52" s="27" t="s">
        <v>70</v>
      </c>
      <c r="E52" s="27" t="s">
        <v>70</v>
      </c>
      <c r="F52" s="27" t="s">
        <v>70</v>
      </c>
      <c r="G52" s="27">
        <v>0</v>
      </c>
      <c r="I52" s="14">
        <v>44</v>
      </c>
      <c r="J52" s="15">
        <f t="shared" si="1"/>
        <v>1</v>
      </c>
      <c r="K52" s="15">
        <v>0</v>
      </c>
      <c r="L52" s="15">
        <f t="shared" si="2"/>
        <v>1</v>
      </c>
      <c r="M52" s="15">
        <v>0</v>
      </c>
      <c r="N52" s="15">
        <f t="shared" si="3"/>
        <v>1</v>
      </c>
      <c r="O52" s="15">
        <v>0.5</v>
      </c>
    </row>
    <row r="53" spans="1:15" x14ac:dyDescent="0.25">
      <c r="A53" s="14">
        <v>45</v>
      </c>
      <c r="B53" s="27">
        <v>0</v>
      </c>
      <c r="C53" s="27" t="s">
        <v>71</v>
      </c>
      <c r="D53" s="27" t="s">
        <v>71</v>
      </c>
      <c r="E53" s="27" t="s">
        <v>71</v>
      </c>
      <c r="F53" s="27">
        <v>0</v>
      </c>
      <c r="G53" s="27">
        <v>0</v>
      </c>
      <c r="I53" s="14">
        <v>45</v>
      </c>
      <c r="J53" s="15">
        <f t="shared" si="1"/>
        <v>0.5</v>
      </c>
      <c r="K53" s="15">
        <v>1</v>
      </c>
      <c r="L53" s="15">
        <f t="shared" si="2"/>
        <v>1</v>
      </c>
      <c r="M53" s="15">
        <v>0</v>
      </c>
      <c r="N53" s="15">
        <f t="shared" si="3"/>
        <v>0.5</v>
      </c>
      <c r="O53" s="15">
        <v>0.5</v>
      </c>
    </row>
    <row r="54" spans="1:15" x14ac:dyDescent="0.25">
      <c r="A54" s="14">
        <v>46</v>
      </c>
      <c r="B54" s="27" t="s">
        <v>72</v>
      </c>
      <c r="C54" s="27" t="s">
        <v>72</v>
      </c>
      <c r="D54" s="27" t="s">
        <v>73</v>
      </c>
      <c r="E54" s="27" t="s">
        <v>73</v>
      </c>
      <c r="F54" s="27" t="s">
        <v>73</v>
      </c>
      <c r="G54" s="27" t="s">
        <v>73</v>
      </c>
      <c r="I54" s="14">
        <v>46</v>
      </c>
      <c r="J54" s="15">
        <f t="shared" si="1"/>
        <v>1</v>
      </c>
      <c r="K54" s="15">
        <v>0</v>
      </c>
      <c r="L54" s="15">
        <f t="shared" si="2"/>
        <v>1</v>
      </c>
      <c r="M54" s="15">
        <v>0</v>
      </c>
      <c r="N54" s="15">
        <f t="shared" si="3"/>
        <v>1</v>
      </c>
      <c r="O54" s="15">
        <v>0</v>
      </c>
    </row>
    <row r="55" spans="1:15" x14ac:dyDescent="0.25">
      <c r="A55" s="14">
        <v>47</v>
      </c>
      <c r="B55" s="27">
        <v>0</v>
      </c>
      <c r="C55" s="27" t="s">
        <v>74</v>
      </c>
      <c r="D55" s="27">
        <v>0</v>
      </c>
      <c r="E55" s="27">
        <v>0</v>
      </c>
      <c r="F55" s="27">
        <v>0</v>
      </c>
      <c r="G55" s="27">
        <v>0</v>
      </c>
      <c r="I55" s="14">
        <v>47</v>
      </c>
      <c r="J55" s="15">
        <f t="shared" si="1"/>
        <v>0.5</v>
      </c>
      <c r="K55" s="15">
        <v>1</v>
      </c>
      <c r="L55" s="15">
        <f t="shared" si="2"/>
        <v>0.5</v>
      </c>
      <c r="M55" s="15">
        <v>0.5</v>
      </c>
      <c r="N55" s="15">
        <f t="shared" si="3"/>
        <v>0.5</v>
      </c>
      <c r="O55" s="15">
        <v>0.5</v>
      </c>
    </row>
    <row r="56" spans="1:15" x14ac:dyDescent="0.25">
      <c r="A56" s="14">
        <v>48</v>
      </c>
      <c r="B56" s="27">
        <v>0</v>
      </c>
      <c r="C56" s="27">
        <v>0</v>
      </c>
      <c r="D56" s="27">
        <v>0</v>
      </c>
      <c r="E56" s="27">
        <v>0</v>
      </c>
      <c r="F56" s="27">
        <v>0</v>
      </c>
      <c r="G56" s="27">
        <v>0</v>
      </c>
      <c r="I56" s="14">
        <v>48</v>
      </c>
      <c r="J56" s="15">
        <f t="shared" si="1"/>
        <v>0.5</v>
      </c>
      <c r="K56" s="15">
        <v>0.5</v>
      </c>
      <c r="L56" s="15">
        <f t="shared" si="2"/>
        <v>0.5</v>
      </c>
      <c r="M56" s="15">
        <v>0.5</v>
      </c>
      <c r="N56" s="15">
        <f t="shared" si="3"/>
        <v>0.5</v>
      </c>
      <c r="O56" s="15">
        <v>0.5</v>
      </c>
    </row>
    <row r="57" spans="1:15" x14ac:dyDescent="0.25">
      <c r="A57" s="14">
        <v>49</v>
      </c>
      <c r="B57" s="27">
        <v>0</v>
      </c>
      <c r="C57" s="27">
        <v>0</v>
      </c>
      <c r="D57" s="27">
        <v>0</v>
      </c>
      <c r="E57" s="27">
        <v>0</v>
      </c>
      <c r="F57" s="27" t="s">
        <v>75</v>
      </c>
      <c r="G57" s="27" t="s">
        <v>75</v>
      </c>
      <c r="I57" s="14">
        <v>49</v>
      </c>
      <c r="J57" s="15">
        <f t="shared" si="1"/>
        <v>0.5</v>
      </c>
      <c r="K57" s="15">
        <v>0.5</v>
      </c>
      <c r="L57" s="15">
        <f t="shared" si="2"/>
        <v>0.5</v>
      </c>
      <c r="M57" s="15">
        <v>0.5</v>
      </c>
      <c r="N57" s="15">
        <f t="shared" si="3"/>
        <v>1</v>
      </c>
      <c r="O57" s="15">
        <v>0</v>
      </c>
    </row>
    <row r="58" spans="1:15" x14ac:dyDescent="0.25">
      <c r="A58" s="14">
        <v>50</v>
      </c>
      <c r="B58" s="27" t="s">
        <v>76</v>
      </c>
      <c r="C58" s="27" t="s">
        <v>76</v>
      </c>
      <c r="D58" s="27" t="s">
        <v>76</v>
      </c>
      <c r="E58" s="27" t="s">
        <v>76</v>
      </c>
      <c r="F58" s="27" t="s">
        <v>76</v>
      </c>
      <c r="G58" s="27">
        <v>0</v>
      </c>
      <c r="I58" s="14">
        <v>50</v>
      </c>
      <c r="J58" s="15">
        <f t="shared" si="1"/>
        <v>1</v>
      </c>
      <c r="K58" s="15">
        <v>0</v>
      </c>
      <c r="L58" s="15">
        <f t="shared" si="2"/>
        <v>1</v>
      </c>
      <c r="M58" s="15">
        <v>0</v>
      </c>
      <c r="N58" s="15">
        <f t="shared" si="3"/>
        <v>1</v>
      </c>
      <c r="O58" s="15">
        <v>0.5</v>
      </c>
    </row>
    <row r="59" spans="1:15" x14ac:dyDescent="0.25">
      <c r="A59" s="14">
        <v>51</v>
      </c>
      <c r="B59" s="27" t="s">
        <v>48</v>
      </c>
      <c r="C59" s="27" t="s">
        <v>48</v>
      </c>
      <c r="D59" s="27" t="s">
        <v>48</v>
      </c>
      <c r="E59" s="27" t="s">
        <v>48</v>
      </c>
      <c r="F59" s="27" t="s">
        <v>48</v>
      </c>
      <c r="G59" s="27" t="s">
        <v>48</v>
      </c>
      <c r="I59" s="14">
        <v>51</v>
      </c>
      <c r="J59" s="15">
        <f t="shared" si="1"/>
        <v>1</v>
      </c>
      <c r="K59" s="15">
        <v>0</v>
      </c>
      <c r="L59" s="15">
        <f t="shared" si="2"/>
        <v>1</v>
      </c>
      <c r="M59" s="15">
        <v>0</v>
      </c>
      <c r="N59" s="15">
        <f t="shared" si="3"/>
        <v>1</v>
      </c>
      <c r="O59" s="15">
        <v>0</v>
      </c>
    </row>
    <row r="60" spans="1:15" x14ac:dyDescent="0.25">
      <c r="A60" s="14">
        <v>52</v>
      </c>
      <c r="B60" s="27" t="s">
        <v>77</v>
      </c>
      <c r="C60" s="27" t="s">
        <v>77</v>
      </c>
      <c r="D60" s="27" t="s">
        <v>77</v>
      </c>
      <c r="E60" s="27" t="s">
        <v>31</v>
      </c>
      <c r="F60" s="27">
        <v>498</v>
      </c>
      <c r="G60" s="27">
        <v>498</v>
      </c>
      <c r="I60" s="14">
        <v>52</v>
      </c>
      <c r="J60" s="15">
        <f t="shared" si="1"/>
        <v>1</v>
      </c>
      <c r="K60" s="15">
        <v>0</v>
      </c>
      <c r="L60" s="15">
        <f t="shared" si="2"/>
        <v>1</v>
      </c>
      <c r="M60" s="15">
        <v>0</v>
      </c>
      <c r="N60" s="15">
        <f t="shared" si="3"/>
        <v>1</v>
      </c>
      <c r="O60" s="15">
        <v>0</v>
      </c>
    </row>
    <row r="61" spans="1:15" x14ac:dyDescent="0.25">
      <c r="A61" s="14">
        <v>53</v>
      </c>
      <c r="B61" s="27">
        <v>924</v>
      </c>
      <c r="C61" s="27">
        <v>924</v>
      </c>
      <c r="D61" s="27">
        <v>924</v>
      </c>
      <c r="E61" s="27">
        <v>924</v>
      </c>
      <c r="F61" s="27">
        <v>924</v>
      </c>
      <c r="G61" s="27">
        <v>924</v>
      </c>
      <c r="I61" s="14">
        <v>53</v>
      </c>
      <c r="J61" s="15">
        <f t="shared" si="1"/>
        <v>1</v>
      </c>
      <c r="K61" s="15">
        <v>0</v>
      </c>
      <c r="L61" s="15">
        <f t="shared" si="2"/>
        <v>1</v>
      </c>
      <c r="M61" s="15">
        <v>0</v>
      </c>
      <c r="N61" s="15">
        <f t="shared" si="3"/>
        <v>1</v>
      </c>
      <c r="O61" s="15">
        <v>0</v>
      </c>
    </row>
    <row r="62" spans="1:15" x14ac:dyDescent="0.25">
      <c r="A62" s="14">
        <v>54</v>
      </c>
      <c r="B62" s="27" t="s">
        <v>78</v>
      </c>
      <c r="C62" s="27" t="s">
        <v>78</v>
      </c>
      <c r="D62" s="27" t="s">
        <v>79</v>
      </c>
      <c r="E62" s="27" t="s">
        <v>79</v>
      </c>
      <c r="F62" s="27" t="s">
        <v>78</v>
      </c>
      <c r="G62" s="27">
        <v>0</v>
      </c>
      <c r="I62" s="14">
        <v>54</v>
      </c>
      <c r="J62" s="15">
        <f t="shared" si="1"/>
        <v>1</v>
      </c>
      <c r="K62" s="15">
        <v>0</v>
      </c>
      <c r="L62" s="15">
        <f t="shared" si="2"/>
        <v>1</v>
      </c>
      <c r="M62" s="15">
        <v>0</v>
      </c>
      <c r="N62" s="15">
        <f t="shared" si="3"/>
        <v>1</v>
      </c>
      <c r="O62" s="15">
        <v>0.5</v>
      </c>
    </row>
    <row r="63" spans="1:15" x14ac:dyDescent="0.25">
      <c r="A63" s="14">
        <v>55</v>
      </c>
      <c r="B63" s="27" t="s">
        <v>80</v>
      </c>
      <c r="C63" s="27" t="s">
        <v>80</v>
      </c>
      <c r="D63" s="27" t="s">
        <v>80</v>
      </c>
      <c r="E63" s="27" t="s">
        <v>80</v>
      </c>
      <c r="F63" s="27">
        <v>0</v>
      </c>
      <c r="G63" s="27">
        <v>0</v>
      </c>
      <c r="I63" s="14">
        <v>55</v>
      </c>
      <c r="J63" s="15">
        <f t="shared" si="1"/>
        <v>1</v>
      </c>
      <c r="K63" s="15">
        <v>0</v>
      </c>
      <c r="L63" s="15">
        <f t="shared" si="2"/>
        <v>1</v>
      </c>
      <c r="M63" s="15">
        <v>0</v>
      </c>
      <c r="N63" s="15">
        <f t="shared" si="3"/>
        <v>0.5</v>
      </c>
      <c r="O63" s="15">
        <v>0.5</v>
      </c>
    </row>
    <row r="64" spans="1:15" x14ac:dyDescent="0.25">
      <c r="A64" s="14">
        <v>56</v>
      </c>
      <c r="B64" s="27" t="s">
        <v>81</v>
      </c>
      <c r="C64" s="27" t="s">
        <v>81</v>
      </c>
      <c r="D64" s="27">
        <v>498</v>
      </c>
      <c r="E64" s="27">
        <v>498</v>
      </c>
      <c r="F64" s="27" t="s">
        <v>53</v>
      </c>
      <c r="G64" s="27">
        <v>0</v>
      </c>
      <c r="I64" s="14">
        <v>56</v>
      </c>
      <c r="J64" s="15">
        <f t="shared" si="1"/>
        <v>1</v>
      </c>
      <c r="K64" s="15">
        <v>0</v>
      </c>
      <c r="L64" s="15">
        <f t="shared" si="2"/>
        <v>1</v>
      </c>
      <c r="M64" s="15">
        <v>0</v>
      </c>
      <c r="N64" s="15">
        <f t="shared" si="3"/>
        <v>1</v>
      </c>
      <c r="O64" s="15">
        <v>0.5</v>
      </c>
    </row>
    <row r="65" spans="1:15" x14ac:dyDescent="0.25">
      <c r="A65" s="14">
        <v>57</v>
      </c>
      <c r="B65" s="27" t="s">
        <v>82</v>
      </c>
      <c r="C65" s="27" t="s">
        <v>82</v>
      </c>
      <c r="D65" s="27" t="s">
        <v>82</v>
      </c>
      <c r="E65" s="27" t="s">
        <v>82</v>
      </c>
      <c r="F65" s="27" t="s">
        <v>82</v>
      </c>
      <c r="G65" s="27" t="s">
        <v>82</v>
      </c>
      <c r="I65" s="14">
        <v>57</v>
      </c>
      <c r="J65" s="15">
        <f t="shared" si="1"/>
        <v>1</v>
      </c>
      <c r="K65" s="15">
        <v>0</v>
      </c>
      <c r="L65" s="15">
        <f t="shared" si="2"/>
        <v>1</v>
      </c>
      <c r="M65" s="15">
        <v>0</v>
      </c>
      <c r="N65" s="15">
        <f t="shared" si="3"/>
        <v>1</v>
      </c>
      <c r="O65" s="15">
        <v>0</v>
      </c>
    </row>
    <row r="66" spans="1:15" x14ac:dyDescent="0.25">
      <c r="A66" s="14">
        <v>58</v>
      </c>
      <c r="B66" s="27" t="s">
        <v>52</v>
      </c>
      <c r="C66" s="27" t="s">
        <v>52</v>
      </c>
      <c r="D66" s="27" t="s">
        <v>52</v>
      </c>
      <c r="E66" s="27" t="s">
        <v>52</v>
      </c>
      <c r="F66" s="27" t="s">
        <v>52</v>
      </c>
      <c r="G66" s="27">
        <v>0</v>
      </c>
      <c r="I66" s="14">
        <v>58</v>
      </c>
      <c r="J66" s="15">
        <f t="shared" si="1"/>
        <v>1</v>
      </c>
      <c r="K66" s="15">
        <v>0</v>
      </c>
      <c r="L66" s="15">
        <f t="shared" si="2"/>
        <v>1</v>
      </c>
      <c r="M66" s="15">
        <v>0</v>
      </c>
      <c r="N66" s="15">
        <f t="shared" si="3"/>
        <v>1</v>
      </c>
      <c r="O66" s="15">
        <v>0.5</v>
      </c>
    </row>
    <row r="67" spans="1:15" x14ac:dyDescent="0.25">
      <c r="A67" s="14">
        <v>59</v>
      </c>
      <c r="B67" s="27" t="s">
        <v>83</v>
      </c>
      <c r="C67" s="27" t="s">
        <v>83</v>
      </c>
      <c r="D67" s="27" t="s">
        <v>83</v>
      </c>
      <c r="E67" s="27" t="s">
        <v>83</v>
      </c>
      <c r="F67" s="27" t="s">
        <v>83</v>
      </c>
      <c r="G67" s="27">
        <v>0</v>
      </c>
      <c r="I67" s="14">
        <v>59</v>
      </c>
      <c r="J67" s="15">
        <f t="shared" si="1"/>
        <v>1</v>
      </c>
      <c r="K67" s="15">
        <v>0</v>
      </c>
      <c r="L67" s="15">
        <f t="shared" si="2"/>
        <v>1</v>
      </c>
      <c r="M67" s="15">
        <v>0</v>
      </c>
      <c r="N67" s="15">
        <f t="shared" si="3"/>
        <v>1</v>
      </c>
      <c r="O67" s="15">
        <v>0.5</v>
      </c>
    </row>
    <row r="68" spans="1:15" x14ac:dyDescent="0.25">
      <c r="A68" s="14">
        <v>60</v>
      </c>
      <c r="B68" s="27" t="s">
        <v>84</v>
      </c>
      <c r="C68" s="27" t="s">
        <v>84</v>
      </c>
      <c r="D68" s="27" t="s">
        <v>84</v>
      </c>
      <c r="E68" s="27" t="s">
        <v>84</v>
      </c>
      <c r="F68" s="27" t="s">
        <v>84</v>
      </c>
      <c r="G68" s="27">
        <v>0</v>
      </c>
      <c r="I68" s="14">
        <v>60</v>
      </c>
      <c r="J68" s="15">
        <f t="shared" si="1"/>
        <v>1</v>
      </c>
      <c r="K68" s="15">
        <v>0</v>
      </c>
      <c r="L68" s="15">
        <f t="shared" si="2"/>
        <v>1</v>
      </c>
      <c r="M68" s="15">
        <v>0</v>
      </c>
      <c r="N68" s="15">
        <f t="shared" si="3"/>
        <v>1</v>
      </c>
      <c r="O68" s="15">
        <v>0.5</v>
      </c>
    </row>
    <row r="69" spans="1:15" x14ac:dyDescent="0.25">
      <c r="A69" s="14">
        <v>61</v>
      </c>
      <c r="B69" s="27" t="s">
        <v>70</v>
      </c>
      <c r="C69" s="27" t="s">
        <v>70</v>
      </c>
      <c r="D69" s="27" t="s">
        <v>70</v>
      </c>
      <c r="E69" s="27" t="s">
        <v>70</v>
      </c>
      <c r="F69" s="27" t="s">
        <v>70</v>
      </c>
      <c r="G69" s="27">
        <v>0</v>
      </c>
      <c r="I69" s="14">
        <v>61</v>
      </c>
      <c r="J69" s="15">
        <f t="shared" si="1"/>
        <v>1</v>
      </c>
      <c r="K69" s="15">
        <v>0</v>
      </c>
      <c r="L69" s="15">
        <f t="shared" si="2"/>
        <v>1</v>
      </c>
      <c r="M69" s="15">
        <v>0</v>
      </c>
      <c r="N69" s="15">
        <f t="shared" si="3"/>
        <v>1</v>
      </c>
      <c r="O69" s="15">
        <v>0.5</v>
      </c>
    </row>
    <row r="70" spans="1:15" x14ac:dyDescent="0.25">
      <c r="A70" s="14">
        <v>62</v>
      </c>
      <c r="B70" s="27" t="s">
        <v>85</v>
      </c>
      <c r="C70" s="27" t="s">
        <v>85</v>
      </c>
      <c r="D70" s="27" t="s">
        <v>85</v>
      </c>
      <c r="E70" s="27" t="s">
        <v>85</v>
      </c>
      <c r="F70" s="27" t="s">
        <v>85</v>
      </c>
      <c r="G70" s="27" t="s">
        <v>85</v>
      </c>
      <c r="I70" s="14">
        <v>62</v>
      </c>
      <c r="J70" s="15">
        <f t="shared" si="1"/>
        <v>1</v>
      </c>
      <c r="K70" s="15">
        <v>0</v>
      </c>
      <c r="L70" s="15">
        <f t="shared" si="2"/>
        <v>1</v>
      </c>
      <c r="M70" s="15">
        <v>0</v>
      </c>
      <c r="N70" s="15">
        <f t="shared" si="3"/>
        <v>1</v>
      </c>
      <c r="O70" s="15">
        <v>0</v>
      </c>
    </row>
    <row r="71" spans="1:15" x14ac:dyDescent="0.25">
      <c r="A71" s="14">
        <v>63</v>
      </c>
      <c r="B71" s="27">
        <v>111</v>
      </c>
      <c r="C71" s="27">
        <v>111</v>
      </c>
      <c r="D71" s="27">
        <v>111</v>
      </c>
      <c r="E71" s="27">
        <v>111</v>
      </c>
      <c r="F71" s="27">
        <v>111</v>
      </c>
      <c r="G71" s="27">
        <v>111</v>
      </c>
      <c r="I71" s="14">
        <v>63</v>
      </c>
      <c r="J71" s="15">
        <f t="shared" si="1"/>
        <v>1</v>
      </c>
      <c r="K71" s="15">
        <v>0</v>
      </c>
      <c r="L71" s="15">
        <f t="shared" si="2"/>
        <v>1</v>
      </c>
      <c r="M71" s="15">
        <v>0</v>
      </c>
      <c r="N71" s="15">
        <f t="shared" si="3"/>
        <v>1</v>
      </c>
      <c r="O71" s="15">
        <v>0</v>
      </c>
    </row>
    <row r="72" spans="1:15" x14ac:dyDescent="0.25">
      <c r="A72" s="14">
        <v>64</v>
      </c>
      <c r="B72" s="27" t="s">
        <v>25</v>
      </c>
      <c r="C72" s="27" t="s">
        <v>25</v>
      </c>
      <c r="D72" s="27" t="s">
        <v>86</v>
      </c>
      <c r="E72" s="27" t="s">
        <v>86</v>
      </c>
      <c r="F72" s="27" t="s">
        <v>86</v>
      </c>
      <c r="G72" s="27" t="s">
        <v>86</v>
      </c>
      <c r="I72" s="14">
        <v>64</v>
      </c>
      <c r="J72" s="15">
        <f t="shared" si="1"/>
        <v>1</v>
      </c>
      <c r="K72" s="15">
        <v>0</v>
      </c>
      <c r="L72" s="15">
        <f t="shared" si="2"/>
        <v>1</v>
      </c>
      <c r="M72" s="15">
        <v>0</v>
      </c>
      <c r="N72" s="15">
        <f t="shared" si="3"/>
        <v>1</v>
      </c>
      <c r="O72" s="15">
        <v>0</v>
      </c>
    </row>
    <row r="73" spans="1:15" x14ac:dyDescent="0.25">
      <c r="A73" s="14">
        <v>65</v>
      </c>
      <c r="B73" s="27" t="s">
        <v>87</v>
      </c>
      <c r="C73" s="27" t="s">
        <v>87</v>
      </c>
      <c r="D73" s="27" t="s">
        <v>87</v>
      </c>
      <c r="E73" s="27" t="s">
        <v>87</v>
      </c>
      <c r="F73" s="27" t="s">
        <v>87</v>
      </c>
      <c r="G73" s="27">
        <v>0</v>
      </c>
      <c r="I73" s="14">
        <v>65</v>
      </c>
      <c r="J73" s="15">
        <f t="shared" si="1"/>
        <v>1</v>
      </c>
      <c r="K73" s="15">
        <v>0</v>
      </c>
      <c r="L73" s="15">
        <f t="shared" si="2"/>
        <v>1</v>
      </c>
      <c r="M73" s="15">
        <v>0</v>
      </c>
      <c r="N73" s="15">
        <f t="shared" si="3"/>
        <v>1</v>
      </c>
      <c r="O73" s="15">
        <v>0.5</v>
      </c>
    </row>
    <row r="74" spans="1:15" x14ac:dyDescent="0.25">
      <c r="A74" s="14">
        <v>66</v>
      </c>
      <c r="B74" s="27" t="s">
        <v>88</v>
      </c>
      <c r="C74" s="27" t="s">
        <v>88</v>
      </c>
      <c r="D74" s="27" t="s">
        <v>88</v>
      </c>
      <c r="E74" s="27" t="s">
        <v>88</v>
      </c>
      <c r="F74" s="27" t="s">
        <v>77</v>
      </c>
      <c r="G74" s="27" t="s">
        <v>77</v>
      </c>
      <c r="I74" s="14">
        <v>66</v>
      </c>
      <c r="J74" s="15">
        <f t="shared" si="1"/>
        <v>1</v>
      </c>
      <c r="K74" s="15">
        <v>0</v>
      </c>
      <c r="L74" s="15">
        <f t="shared" si="2"/>
        <v>1</v>
      </c>
      <c r="M74" s="15">
        <v>0</v>
      </c>
      <c r="N74" s="15">
        <f t="shared" si="3"/>
        <v>1</v>
      </c>
      <c r="O74" s="15">
        <v>0</v>
      </c>
    </row>
    <row r="75" spans="1:15" x14ac:dyDescent="0.25">
      <c r="A75" s="14">
        <v>67</v>
      </c>
      <c r="B75" s="27" t="s">
        <v>89</v>
      </c>
      <c r="C75" s="27" t="s">
        <v>89</v>
      </c>
      <c r="D75" s="27" t="s">
        <v>89</v>
      </c>
      <c r="E75" s="27" t="s">
        <v>89</v>
      </c>
      <c r="F75" s="27" t="s">
        <v>89</v>
      </c>
      <c r="G75" s="27" t="s">
        <v>89</v>
      </c>
      <c r="I75" s="14">
        <v>67</v>
      </c>
      <c r="J75" s="15">
        <f t="shared" si="1"/>
        <v>1</v>
      </c>
      <c r="K75" s="15">
        <v>0</v>
      </c>
      <c r="L75" s="15">
        <f t="shared" si="2"/>
        <v>1</v>
      </c>
      <c r="M75" s="15">
        <v>0</v>
      </c>
      <c r="N75" s="15">
        <f t="shared" si="3"/>
        <v>1</v>
      </c>
      <c r="O75" s="15">
        <v>0</v>
      </c>
    </row>
    <row r="76" spans="1:15" x14ac:dyDescent="0.25">
      <c r="A76" s="14">
        <v>68</v>
      </c>
      <c r="B76" s="27" t="s">
        <v>90</v>
      </c>
      <c r="C76" s="27" t="s">
        <v>90</v>
      </c>
      <c r="D76" s="27" t="s">
        <v>90</v>
      </c>
      <c r="E76" s="27" t="s">
        <v>90</v>
      </c>
      <c r="F76" s="27" t="s">
        <v>90</v>
      </c>
      <c r="G76" s="27" t="s">
        <v>90</v>
      </c>
      <c r="I76" s="14">
        <v>68</v>
      </c>
      <c r="J76" s="15">
        <f t="shared" si="1"/>
        <v>1</v>
      </c>
      <c r="K76" s="15">
        <v>0</v>
      </c>
      <c r="L76" s="15">
        <f t="shared" si="2"/>
        <v>1</v>
      </c>
      <c r="M76" s="15">
        <v>0</v>
      </c>
      <c r="N76" s="15">
        <f t="shared" si="3"/>
        <v>1</v>
      </c>
      <c r="O76" s="15">
        <v>0</v>
      </c>
    </row>
    <row r="77" spans="1:15" x14ac:dyDescent="0.25">
      <c r="A77" s="14">
        <v>69</v>
      </c>
      <c r="B77" s="27">
        <v>677</v>
      </c>
      <c r="C77" s="27">
        <v>677</v>
      </c>
      <c r="D77" s="27">
        <v>677</v>
      </c>
      <c r="E77" s="27">
        <v>677</v>
      </c>
      <c r="F77" s="27">
        <v>0</v>
      </c>
      <c r="G77" s="27">
        <v>0</v>
      </c>
      <c r="I77" s="14">
        <v>69</v>
      </c>
      <c r="J77" s="15">
        <f t="shared" si="1"/>
        <v>1</v>
      </c>
      <c r="K77" s="15">
        <v>0</v>
      </c>
      <c r="L77" s="15">
        <f t="shared" si="2"/>
        <v>1</v>
      </c>
      <c r="M77" s="15">
        <v>0</v>
      </c>
      <c r="N77" s="15">
        <f t="shared" si="3"/>
        <v>0.5</v>
      </c>
      <c r="O77" s="15">
        <v>0.5</v>
      </c>
    </row>
    <row r="78" spans="1:15" x14ac:dyDescent="0.25">
      <c r="A78" s="14">
        <v>70</v>
      </c>
      <c r="B78" s="27" t="s">
        <v>91</v>
      </c>
      <c r="C78" s="27" t="s">
        <v>91</v>
      </c>
      <c r="D78" s="27" t="s">
        <v>91</v>
      </c>
      <c r="E78" s="27" t="s">
        <v>91</v>
      </c>
      <c r="F78" s="27">
        <v>0</v>
      </c>
      <c r="G78" s="27">
        <v>0</v>
      </c>
      <c r="I78" s="14">
        <v>70</v>
      </c>
      <c r="J78" s="15">
        <f t="shared" si="1"/>
        <v>1</v>
      </c>
      <c r="K78" s="15">
        <v>0</v>
      </c>
      <c r="L78" s="15">
        <f t="shared" si="2"/>
        <v>1</v>
      </c>
      <c r="M78" s="15">
        <v>0</v>
      </c>
      <c r="N78" s="15">
        <f t="shared" si="3"/>
        <v>0.5</v>
      </c>
      <c r="O78" s="15">
        <v>0.5</v>
      </c>
    </row>
    <row r="79" spans="1:15" x14ac:dyDescent="0.25">
      <c r="A79" s="14">
        <v>71</v>
      </c>
      <c r="B79" s="27" t="s">
        <v>59</v>
      </c>
      <c r="C79" s="27" t="s">
        <v>59</v>
      </c>
      <c r="D79" s="27">
        <v>449</v>
      </c>
      <c r="E79" s="27">
        <v>449</v>
      </c>
      <c r="F79" s="27">
        <v>0</v>
      </c>
      <c r="G79" s="27">
        <v>0</v>
      </c>
      <c r="I79" s="14">
        <v>71</v>
      </c>
      <c r="J79" s="15">
        <f t="shared" ref="J79:J136" si="4">IF(B79=0,0.5,1)</f>
        <v>1</v>
      </c>
      <c r="K79" s="15">
        <v>0</v>
      </c>
      <c r="L79" s="15">
        <f t="shared" si="2"/>
        <v>1</v>
      </c>
      <c r="M79" s="15">
        <v>0</v>
      </c>
      <c r="N79" s="15">
        <f t="shared" si="3"/>
        <v>0.5</v>
      </c>
      <c r="O79" s="15">
        <v>0.5</v>
      </c>
    </row>
    <row r="80" spans="1:15" x14ac:dyDescent="0.25">
      <c r="A80" s="14">
        <v>72</v>
      </c>
      <c r="B80" s="27" t="s">
        <v>92</v>
      </c>
      <c r="C80" s="27" t="s">
        <v>92</v>
      </c>
      <c r="D80" s="27" t="s">
        <v>92</v>
      </c>
      <c r="E80" s="27" t="s">
        <v>92</v>
      </c>
      <c r="F80" s="27" t="s">
        <v>92</v>
      </c>
      <c r="G80" s="27">
        <v>0</v>
      </c>
      <c r="I80" s="14">
        <v>72</v>
      </c>
      <c r="J80" s="15">
        <f t="shared" si="4"/>
        <v>1</v>
      </c>
      <c r="K80" s="15">
        <v>0</v>
      </c>
      <c r="L80" s="15">
        <f t="shared" si="2"/>
        <v>1</v>
      </c>
      <c r="M80" s="15">
        <v>0</v>
      </c>
      <c r="N80" s="15">
        <f t="shared" si="3"/>
        <v>1</v>
      </c>
      <c r="O80" s="15">
        <v>0.5</v>
      </c>
    </row>
    <row r="81" spans="1:15" x14ac:dyDescent="0.25">
      <c r="A81" s="14">
        <v>73</v>
      </c>
      <c r="B81" s="27" t="s">
        <v>93</v>
      </c>
      <c r="C81" s="27" t="s">
        <v>93</v>
      </c>
      <c r="D81" s="27" t="s">
        <v>93</v>
      </c>
      <c r="E81" s="27" t="s">
        <v>93</v>
      </c>
      <c r="F81" s="27">
        <v>0</v>
      </c>
      <c r="G81" s="27">
        <v>0</v>
      </c>
      <c r="I81" s="14">
        <v>73</v>
      </c>
      <c r="J81" s="15">
        <f t="shared" si="4"/>
        <v>1</v>
      </c>
      <c r="K81" s="15">
        <v>0</v>
      </c>
      <c r="L81" s="15">
        <f t="shared" si="2"/>
        <v>1</v>
      </c>
      <c r="M81" s="15">
        <v>0</v>
      </c>
      <c r="N81" s="15">
        <f t="shared" si="3"/>
        <v>0.5</v>
      </c>
      <c r="O81" s="15">
        <v>0.5</v>
      </c>
    </row>
    <row r="82" spans="1:15" x14ac:dyDescent="0.25">
      <c r="A82" s="14">
        <v>74</v>
      </c>
      <c r="B82" s="27">
        <v>535</v>
      </c>
      <c r="C82" s="27">
        <v>535</v>
      </c>
      <c r="D82" s="27">
        <v>0</v>
      </c>
      <c r="E82" s="27" t="s">
        <v>94</v>
      </c>
      <c r="F82" s="27" t="s">
        <v>54</v>
      </c>
      <c r="G82" s="27" t="s">
        <v>54</v>
      </c>
      <c r="I82" s="14">
        <v>74</v>
      </c>
      <c r="J82" s="15">
        <f t="shared" si="4"/>
        <v>1</v>
      </c>
      <c r="K82" s="15">
        <v>0</v>
      </c>
      <c r="L82" s="15">
        <f t="shared" si="2"/>
        <v>0.5</v>
      </c>
      <c r="M82" s="15">
        <v>1</v>
      </c>
      <c r="N82" s="15">
        <f t="shared" si="3"/>
        <v>1</v>
      </c>
      <c r="O82" s="15">
        <v>0</v>
      </c>
    </row>
    <row r="83" spans="1:15" x14ac:dyDescent="0.25">
      <c r="A83" s="14">
        <v>75</v>
      </c>
      <c r="B83" s="27">
        <v>384</v>
      </c>
      <c r="C83" s="27">
        <v>384</v>
      </c>
      <c r="D83" s="27">
        <v>384</v>
      </c>
      <c r="E83" s="27">
        <v>384</v>
      </c>
      <c r="F83" s="27">
        <v>0</v>
      </c>
      <c r="G83" s="27">
        <v>0</v>
      </c>
      <c r="I83" s="14">
        <v>75</v>
      </c>
      <c r="J83" s="15">
        <f t="shared" si="4"/>
        <v>1</v>
      </c>
      <c r="K83" s="15">
        <v>0</v>
      </c>
      <c r="L83" s="15">
        <f t="shared" si="2"/>
        <v>1</v>
      </c>
      <c r="M83" s="15">
        <v>0</v>
      </c>
      <c r="N83" s="15">
        <f t="shared" si="3"/>
        <v>0.5</v>
      </c>
      <c r="O83" s="15">
        <v>0.5</v>
      </c>
    </row>
    <row r="84" spans="1:15" x14ac:dyDescent="0.25">
      <c r="A84" s="14">
        <v>76</v>
      </c>
      <c r="B84" s="27" t="s">
        <v>95</v>
      </c>
      <c r="C84" s="27" t="s">
        <v>95</v>
      </c>
      <c r="D84" s="27" t="s">
        <v>95</v>
      </c>
      <c r="E84" s="27" t="s">
        <v>95</v>
      </c>
      <c r="F84" s="27" t="s">
        <v>95</v>
      </c>
      <c r="G84" s="27" t="s">
        <v>95</v>
      </c>
      <c r="I84" s="14">
        <v>76</v>
      </c>
      <c r="J84" s="15">
        <f t="shared" si="4"/>
        <v>1</v>
      </c>
      <c r="K84" s="15">
        <v>0</v>
      </c>
      <c r="L84" s="15">
        <f t="shared" si="2"/>
        <v>1</v>
      </c>
      <c r="M84" s="15">
        <v>0</v>
      </c>
      <c r="N84" s="15">
        <f t="shared" si="3"/>
        <v>1</v>
      </c>
      <c r="O84" s="15">
        <v>0</v>
      </c>
    </row>
    <row r="85" spans="1:15" x14ac:dyDescent="0.25">
      <c r="A85" s="14">
        <v>77</v>
      </c>
      <c r="B85" s="27" t="s">
        <v>96</v>
      </c>
      <c r="C85" s="27" t="s">
        <v>96</v>
      </c>
      <c r="D85" s="27" t="s">
        <v>96</v>
      </c>
      <c r="E85" s="27" t="s">
        <v>96</v>
      </c>
      <c r="F85" s="27" t="s">
        <v>96</v>
      </c>
      <c r="G85" s="27" t="s">
        <v>96</v>
      </c>
      <c r="I85" s="14">
        <v>77</v>
      </c>
      <c r="J85" s="15">
        <f t="shared" si="4"/>
        <v>1</v>
      </c>
      <c r="K85" s="15">
        <v>0</v>
      </c>
      <c r="L85" s="15">
        <f t="shared" si="2"/>
        <v>1</v>
      </c>
      <c r="M85" s="15">
        <v>0</v>
      </c>
      <c r="N85" s="15">
        <f t="shared" si="3"/>
        <v>1</v>
      </c>
      <c r="O85" s="15">
        <v>0</v>
      </c>
    </row>
    <row r="86" spans="1:15" x14ac:dyDescent="0.25">
      <c r="A86" s="14">
        <v>78</v>
      </c>
      <c r="B86" s="27">
        <v>0</v>
      </c>
      <c r="C86" s="27">
        <v>0</v>
      </c>
      <c r="D86" s="27">
        <v>0</v>
      </c>
      <c r="E86" s="27">
        <v>0</v>
      </c>
      <c r="F86" s="27">
        <v>0</v>
      </c>
      <c r="G86" s="27">
        <v>0</v>
      </c>
      <c r="I86" s="14">
        <v>78</v>
      </c>
      <c r="J86" s="15">
        <f t="shared" si="4"/>
        <v>0.5</v>
      </c>
      <c r="K86" s="15">
        <v>0.5</v>
      </c>
      <c r="L86" s="15">
        <f t="shared" si="2"/>
        <v>0.5</v>
      </c>
      <c r="M86" s="15">
        <v>0.5</v>
      </c>
      <c r="N86" s="15">
        <f t="shared" si="3"/>
        <v>0.5</v>
      </c>
      <c r="O86" s="15">
        <v>0.5</v>
      </c>
    </row>
    <row r="87" spans="1:15" x14ac:dyDescent="0.25">
      <c r="A87" s="14">
        <v>79</v>
      </c>
      <c r="B87" s="27">
        <v>0</v>
      </c>
      <c r="C87" s="27">
        <v>0</v>
      </c>
      <c r="D87" s="27">
        <v>0</v>
      </c>
      <c r="E87" s="27">
        <v>0</v>
      </c>
      <c r="F87" s="27">
        <v>0</v>
      </c>
      <c r="G87" s="27">
        <v>0</v>
      </c>
      <c r="I87" s="14">
        <v>79</v>
      </c>
      <c r="J87" s="15">
        <f t="shared" si="4"/>
        <v>0.5</v>
      </c>
      <c r="K87" s="15">
        <v>0.5</v>
      </c>
      <c r="L87" s="15">
        <f t="shared" si="2"/>
        <v>0.5</v>
      </c>
      <c r="M87" s="15">
        <v>0.5</v>
      </c>
      <c r="N87" s="15">
        <f t="shared" si="3"/>
        <v>0.5</v>
      </c>
      <c r="O87" s="15">
        <v>0.5</v>
      </c>
    </row>
    <row r="88" spans="1:15" x14ac:dyDescent="0.25">
      <c r="A88" s="14">
        <v>80</v>
      </c>
      <c r="B88" s="27" t="s">
        <v>97</v>
      </c>
      <c r="C88" s="27" t="s">
        <v>97</v>
      </c>
      <c r="D88" s="27" t="s">
        <v>97</v>
      </c>
      <c r="E88" s="27" t="s">
        <v>97</v>
      </c>
      <c r="F88" s="27" t="s">
        <v>97</v>
      </c>
      <c r="G88" s="27">
        <v>0</v>
      </c>
      <c r="I88" s="14">
        <v>80</v>
      </c>
      <c r="J88" s="15">
        <f t="shared" si="4"/>
        <v>1</v>
      </c>
      <c r="K88" s="15">
        <v>0</v>
      </c>
      <c r="L88" s="15">
        <f t="shared" si="2"/>
        <v>1</v>
      </c>
      <c r="M88" s="15">
        <v>0</v>
      </c>
      <c r="N88" s="15">
        <f t="shared" si="3"/>
        <v>1</v>
      </c>
      <c r="O88" s="15">
        <v>0.5</v>
      </c>
    </row>
    <row r="89" spans="1:15" x14ac:dyDescent="0.25">
      <c r="A89" s="14">
        <v>81</v>
      </c>
      <c r="B89" s="27" t="s">
        <v>98</v>
      </c>
      <c r="C89" s="27" t="s">
        <v>98</v>
      </c>
      <c r="D89" s="27" t="s">
        <v>98</v>
      </c>
      <c r="E89" s="27" t="s">
        <v>98</v>
      </c>
      <c r="F89" s="27">
        <v>0</v>
      </c>
      <c r="G89" s="27">
        <v>0</v>
      </c>
      <c r="I89" s="14">
        <v>81</v>
      </c>
      <c r="J89" s="15">
        <f t="shared" si="4"/>
        <v>1</v>
      </c>
      <c r="K89" s="15">
        <v>0</v>
      </c>
      <c r="L89" s="15">
        <f t="shared" ref="L89:L136" si="5">IF(D89=0,0.5,1)</f>
        <v>1</v>
      </c>
      <c r="M89" s="15">
        <v>0</v>
      </c>
      <c r="N89" s="15">
        <f t="shared" ref="N89:N136" si="6">IF(F89=0,0.5,1)</f>
        <v>0.5</v>
      </c>
      <c r="O89" s="15">
        <v>0.5</v>
      </c>
    </row>
    <row r="90" spans="1:15" x14ac:dyDescent="0.25">
      <c r="A90" s="14">
        <v>82</v>
      </c>
      <c r="B90" s="27" t="s">
        <v>99</v>
      </c>
      <c r="C90" s="27" t="s">
        <v>99</v>
      </c>
      <c r="D90" s="27" t="s">
        <v>99</v>
      </c>
      <c r="E90" s="27" t="s">
        <v>99</v>
      </c>
      <c r="F90" s="27" t="s">
        <v>37</v>
      </c>
      <c r="G90" s="27">
        <v>0</v>
      </c>
      <c r="I90" s="14">
        <v>82</v>
      </c>
      <c r="J90" s="15">
        <f t="shared" si="4"/>
        <v>1</v>
      </c>
      <c r="K90" s="15">
        <v>0</v>
      </c>
      <c r="L90" s="15">
        <f t="shared" si="5"/>
        <v>1</v>
      </c>
      <c r="M90" s="15">
        <v>0</v>
      </c>
      <c r="N90" s="15">
        <f t="shared" si="6"/>
        <v>1</v>
      </c>
      <c r="O90" s="15">
        <v>0.5</v>
      </c>
    </row>
    <row r="91" spans="1:15" x14ac:dyDescent="0.25">
      <c r="A91" s="14">
        <v>83</v>
      </c>
      <c r="B91" s="27" t="s">
        <v>100</v>
      </c>
      <c r="C91" s="27" t="s">
        <v>100</v>
      </c>
      <c r="D91" s="27" t="s">
        <v>100</v>
      </c>
      <c r="E91" s="27" t="s">
        <v>100</v>
      </c>
      <c r="F91" s="27" t="s">
        <v>100</v>
      </c>
      <c r="G91" s="27">
        <v>0</v>
      </c>
      <c r="I91" s="14">
        <v>83</v>
      </c>
      <c r="J91" s="15">
        <f t="shared" si="4"/>
        <v>1</v>
      </c>
      <c r="K91" s="15">
        <v>0</v>
      </c>
      <c r="L91" s="15">
        <f t="shared" si="5"/>
        <v>1</v>
      </c>
      <c r="M91" s="15">
        <v>0</v>
      </c>
      <c r="N91" s="15">
        <f t="shared" si="6"/>
        <v>1</v>
      </c>
      <c r="O91" s="15">
        <v>0.5</v>
      </c>
    </row>
    <row r="92" spans="1:15" x14ac:dyDescent="0.25">
      <c r="A92" s="14">
        <v>84</v>
      </c>
      <c r="B92" s="27" t="s">
        <v>83</v>
      </c>
      <c r="C92" s="27" t="s">
        <v>83</v>
      </c>
      <c r="D92" s="27" t="s">
        <v>83</v>
      </c>
      <c r="E92" s="27" t="s">
        <v>83</v>
      </c>
      <c r="F92" s="27" t="s">
        <v>83</v>
      </c>
      <c r="G92" s="27" t="s">
        <v>83</v>
      </c>
      <c r="I92" s="14">
        <v>84</v>
      </c>
      <c r="J92" s="15">
        <f t="shared" si="4"/>
        <v>1</v>
      </c>
      <c r="K92" s="15">
        <v>0</v>
      </c>
      <c r="L92" s="15">
        <f t="shared" si="5"/>
        <v>1</v>
      </c>
      <c r="M92" s="15">
        <v>0</v>
      </c>
      <c r="N92" s="15">
        <f t="shared" si="6"/>
        <v>1</v>
      </c>
      <c r="O92" s="15">
        <v>0</v>
      </c>
    </row>
    <row r="93" spans="1:15" x14ac:dyDescent="0.25">
      <c r="A93" s="14">
        <v>85</v>
      </c>
      <c r="B93" s="27" t="s">
        <v>101</v>
      </c>
      <c r="C93" s="27" t="s">
        <v>101</v>
      </c>
      <c r="D93" s="27" t="s">
        <v>101</v>
      </c>
      <c r="E93" s="27" t="s">
        <v>101</v>
      </c>
      <c r="F93" s="27">
        <v>0</v>
      </c>
      <c r="G93" s="27">
        <v>0</v>
      </c>
      <c r="I93" s="14">
        <v>85</v>
      </c>
      <c r="J93" s="15">
        <f t="shared" si="4"/>
        <v>1</v>
      </c>
      <c r="K93" s="15">
        <v>0</v>
      </c>
      <c r="L93" s="15">
        <f t="shared" si="5"/>
        <v>1</v>
      </c>
      <c r="M93" s="15">
        <v>0</v>
      </c>
      <c r="N93" s="15">
        <f t="shared" si="6"/>
        <v>0.5</v>
      </c>
      <c r="O93" s="15">
        <v>0.5</v>
      </c>
    </row>
    <row r="94" spans="1:15" x14ac:dyDescent="0.25">
      <c r="A94" s="14">
        <v>86</v>
      </c>
      <c r="B94" s="27" t="s">
        <v>102</v>
      </c>
      <c r="C94" s="27" t="s">
        <v>102</v>
      </c>
      <c r="D94" s="27" t="s">
        <v>102</v>
      </c>
      <c r="E94" s="27" t="s">
        <v>102</v>
      </c>
      <c r="F94" s="27" t="s">
        <v>103</v>
      </c>
      <c r="G94" s="27" t="s">
        <v>103</v>
      </c>
      <c r="I94" s="14">
        <v>86</v>
      </c>
      <c r="J94" s="15">
        <f t="shared" si="4"/>
        <v>1</v>
      </c>
      <c r="K94" s="15">
        <v>0</v>
      </c>
      <c r="L94" s="15">
        <f t="shared" si="5"/>
        <v>1</v>
      </c>
      <c r="M94" s="15">
        <v>0</v>
      </c>
      <c r="N94" s="15">
        <f t="shared" si="6"/>
        <v>1</v>
      </c>
      <c r="O94" s="15">
        <v>0</v>
      </c>
    </row>
    <row r="95" spans="1:15" x14ac:dyDescent="0.25">
      <c r="A95" s="14">
        <v>87</v>
      </c>
      <c r="B95" s="27" t="s">
        <v>104</v>
      </c>
      <c r="C95" s="27" t="s">
        <v>104</v>
      </c>
      <c r="D95" s="27" t="s">
        <v>104</v>
      </c>
      <c r="E95" s="27" t="s">
        <v>104</v>
      </c>
      <c r="F95" s="27" t="s">
        <v>105</v>
      </c>
      <c r="G95" s="27" t="s">
        <v>105</v>
      </c>
      <c r="I95" s="14">
        <v>87</v>
      </c>
      <c r="J95" s="15">
        <f t="shared" si="4"/>
        <v>1</v>
      </c>
      <c r="K95" s="15">
        <v>0</v>
      </c>
      <c r="L95" s="15">
        <f t="shared" si="5"/>
        <v>1</v>
      </c>
      <c r="M95" s="15">
        <v>0</v>
      </c>
      <c r="N95" s="15">
        <f t="shared" si="6"/>
        <v>1</v>
      </c>
      <c r="O95" s="15">
        <v>0</v>
      </c>
    </row>
    <row r="96" spans="1:15" x14ac:dyDescent="0.25">
      <c r="A96" s="14">
        <v>88</v>
      </c>
      <c r="B96" s="27" t="s">
        <v>52</v>
      </c>
      <c r="C96" s="27" t="s">
        <v>52</v>
      </c>
      <c r="D96" s="27" t="s">
        <v>52</v>
      </c>
      <c r="E96" s="27" t="s">
        <v>52</v>
      </c>
      <c r="F96" s="27" t="s">
        <v>52</v>
      </c>
      <c r="G96" s="27" t="s">
        <v>52</v>
      </c>
      <c r="I96" s="14">
        <v>88</v>
      </c>
      <c r="J96" s="15">
        <f t="shared" si="4"/>
        <v>1</v>
      </c>
      <c r="K96" s="15">
        <v>0</v>
      </c>
      <c r="L96" s="15">
        <f t="shared" si="5"/>
        <v>1</v>
      </c>
      <c r="M96" s="15">
        <v>0</v>
      </c>
      <c r="N96" s="15">
        <f t="shared" si="6"/>
        <v>1</v>
      </c>
      <c r="O96" s="15">
        <v>0</v>
      </c>
    </row>
    <row r="97" spans="1:15" x14ac:dyDescent="0.25">
      <c r="A97" s="14">
        <v>89</v>
      </c>
      <c r="B97" s="27" t="s">
        <v>106</v>
      </c>
      <c r="C97" s="27" t="s">
        <v>106</v>
      </c>
      <c r="D97" s="27" t="s">
        <v>106</v>
      </c>
      <c r="E97" s="27" t="s">
        <v>106</v>
      </c>
      <c r="F97" s="27" t="s">
        <v>106</v>
      </c>
      <c r="G97" s="27" t="s">
        <v>106</v>
      </c>
      <c r="I97" s="14">
        <v>89</v>
      </c>
      <c r="J97" s="15">
        <f t="shared" si="4"/>
        <v>1</v>
      </c>
      <c r="K97" s="15">
        <v>0</v>
      </c>
      <c r="L97" s="15">
        <f t="shared" si="5"/>
        <v>1</v>
      </c>
      <c r="M97" s="15">
        <v>0</v>
      </c>
      <c r="N97" s="15">
        <f t="shared" si="6"/>
        <v>1</v>
      </c>
      <c r="O97" s="15">
        <v>0</v>
      </c>
    </row>
    <row r="98" spans="1:15" x14ac:dyDescent="0.25">
      <c r="A98" s="14">
        <v>90</v>
      </c>
      <c r="B98" s="27" t="s">
        <v>107</v>
      </c>
      <c r="C98" s="27" t="s">
        <v>107</v>
      </c>
      <c r="D98" s="27" t="s">
        <v>107</v>
      </c>
      <c r="E98" s="27" t="s">
        <v>107</v>
      </c>
      <c r="F98" s="27" t="s">
        <v>107</v>
      </c>
      <c r="G98" s="27">
        <v>0</v>
      </c>
      <c r="I98" s="14">
        <v>90</v>
      </c>
      <c r="J98" s="15">
        <f t="shared" si="4"/>
        <v>1</v>
      </c>
      <c r="K98" s="15">
        <v>0</v>
      </c>
      <c r="L98" s="15">
        <f t="shared" si="5"/>
        <v>1</v>
      </c>
      <c r="M98" s="15">
        <v>0</v>
      </c>
      <c r="N98" s="15">
        <f t="shared" si="6"/>
        <v>1</v>
      </c>
      <c r="O98" s="15">
        <v>0.5</v>
      </c>
    </row>
    <row r="99" spans="1:15" x14ac:dyDescent="0.25">
      <c r="A99" s="14">
        <v>91</v>
      </c>
      <c r="B99" s="27" t="s">
        <v>108</v>
      </c>
      <c r="C99" s="27" t="s">
        <v>108</v>
      </c>
      <c r="D99" s="27" t="s">
        <v>108</v>
      </c>
      <c r="E99" s="27" t="s">
        <v>108</v>
      </c>
      <c r="F99" s="27" t="s">
        <v>108</v>
      </c>
      <c r="G99" s="27" t="s">
        <v>108</v>
      </c>
      <c r="I99" s="14">
        <v>91</v>
      </c>
      <c r="J99" s="15">
        <f t="shared" si="4"/>
        <v>1</v>
      </c>
      <c r="K99" s="15">
        <v>0</v>
      </c>
      <c r="L99" s="15">
        <f t="shared" si="5"/>
        <v>1</v>
      </c>
      <c r="M99" s="15">
        <v>0</v>
      </c>
      <c r="N99" s="15">
        <f t="shared" si="6"/>
        <v>1</v>
      </c>
      <c r="O99" s="15">
        <v>0</v>
      </c>
    </row>
    <row r="100" spans="1:15" x14ac:dyDescent="0.25">
      <c r="A100" s="14">
        <v>92</v>
      </c>
      <c r="B100" s="27" t="s">
        <v>109</v>
      </c>
      <c r="C100" s="27" t="s">
        <v>109</v>
      </c>
      <c r="D100" s="27" t="s">
        <v>109</v>
      </c>
      <c r="E100" s="27" t="s">
        <v>109</v>
      </c>
      <c r="F100" s="27" t="s">
        <v>109</v>
      </c>
      <c r="G100" s="27">
        <v>0</v>
      </c>
      <c r="I100" s="14">
        <v>92</v>
      </c>
      <c r="J100" s="15">
        <f t="shared" si="4"/>
        <v>1</v>
      </c>
      <c r="K100" s="15">
        <v>0</v>
      </c>
      <c r="L100" s="15">
        <f t="shared" si="5"/>
        <v>1</v>
      </c>
      <c r="M100" s="15">
        <v>0</v>
      </c>
      <c r="N100" s="15">
        <f t="shared" si="6"/>
        <v>1</v>
      </c>
      <c r="O100" s="15">
        <v>0.5</v>
      </c>
    </row>
    <row r="101" spans="1:15" x14ac:dyDescent="0.25">
      <c r="A101" s="14">
        <v>93</v>
      </c>
      <c r="B101" s="27" t="s">
        <v>110</v>
      </c>
      <c r="C101" s="27" t="s">
        <v>110</v>
      </c>
      <c r="D101" s="27" t="s">
        <v>110</v>
      </c>
      <c r="E101" s="27" t="s">
        <v>110</v>
      </c>
      <c r="F101" s="27" t="s">
        <v>111</v>
      </c>
      <c r="G101" s="27" t="s">
        <v>111</v>
      </c>
      <c r="I101" s="14">
        <v>93</v>
      </c>
      <c r="J101" s="15">
        <f t="shared" si="4"/>
        <v>1</v>
      </c>
      <c r="K101" s="15">
        <v>0</v>
      </c>
      <c r="L101" s="15">
        <f t="shared" si="5"/>
        <v>1</v>
      </c>
      <c r="M101" s="15">
        <v>0</v>
      </c>
      <c r="N101" s="15">
        <f t="shared" si="6"/>
        <v>1</v>
      </c>
      <c r="O101" s="15">
        <v>0</v>
      </c>
    </row>
    <row r="102" spans="1:15" x14ac:dyDescent="0.25">
      <c r="A102" s="14">
        <v>94</v>
      </c>
      <c r="B102" s="27" t="s">
        <v>112</v>
      </c>
      <c r="C102" s="27" t="s">
        <v>112</v>
      </c>
      <c r="D102" s="27">
        <v>0</v>
      </c>
      <c r="E102" s="27">
        <v>0</v>
      </c>
      <c r="F102" s="27" t="s">
        <v>113</v>
      </c>
      <c r="G102" s="27" t="s">
        <v>113</v>
      </c>
      <c r="I102" s="14">
        <v>94</v>
      </c>
      <c r="J102" s="15">
        <f t="shared" si="4"/>
        <v>1</v>
      </c>
      <c r="K102" s="15">
        <v>0</v>
      </c>
      <c r="L102" s="15">
        <f t="shared" si="5"/>
        <v>0.5</v>
      </c>
      <c r="M102" s="15">
        <v>0.5</v>
      </c>
      <c r="N102" s="15">
        <f t="shared" si="6"/>
        <v>1</v>
      </c>
      <c r="O102" s="15">
        <v>0</v>
      </c>
    </row>
    <row r="103" spans="1:15" x14ac:dyDescent="0.25">
      <c r="A103" s="14">
        <v>95</v>
      </c>
      <c r="B103" s="27">
        <v>0</v>
      </c>
      <c r="C103" s="27">
        <v>0</v>
      </c>
      <c r="D103" s="27">
        <v>0</v>
      </c>
      <c r="E103" s="27">
        <v>0</v>
      </c>
      <c r="F103" s="27">
        <v>0</v>
      </c>
      <c r="G103" s="27">
        <v>0</v>
      </c>
      <c r="I103" s="14">
        <v>95</v>
      </c>
      <c r="J103" s="15">
        <f t="shared" si="4"/>
        <v>0.5</v>
      </c>
      <c r="K103" s="15">
        <v>0.5</v>
      </c>
      <c r="L103" s="15">
        <f t="shared" si="5"/>
        <v>0.5</v>
      </c>
      <c r="M103" s="15">
        <v>0.5</v>
      </c>
      <c r="N103" s="15">
        <f t="shared" si="6"/>
        <v>0.5</v>
      </c>
      <c r="O103" s="15">
        <v>0.5</v>
      </c>
    </row>
    <row r="104" spans="1:15" x14ac:dyDescent="0.25">
      <c r="A104" s="14">
        <v>96</v>
      </c>
      <c r="B104" s="27">
        <v>0</v>
      </c>
      <c r="C104" s="27">
        <v>0</v>
      </c>
      <c r="D104" s="27">
        <v>0</v>
      </c>
      <c r="E104" s="27">
        <v>0</v>
      </c>
      <c r="F104" s="27">
        <v>0</v>
      </c>
      <c r="G104" s="27">
        <v>0</v>
      </c>
      <c r="I104" s="14">
        <v>96</v>
      </c>
      <c r="J104" s="15">
        <f t="shared" si="4"/>
        <v>0.5</v>
      </c>
      <c r="K104" s="15">
        <v>0.5</v>
      </c>
      <c r="L104" s="15">
        <f t="shared" si="5"/>
        <v>0.5</v>
      </c>
      <c r="M104" s="15">
        <v>0.5</v>
      </c>
      <c r="N104" s="15">
        <f t="shared" si="6"/>
        <v>0.5</v>
      </c>
      <c r="O104" s="15">
        <v>0.5</v>
      </c>
    </row>
    <row r="105" spans="1:15" x14ac:dyDescent="0.25">
      <c r="A105" s="14">
        <v>97</v>
      </c>
      <c r="B105" s="27">
        <v>401</v>
      </c>
      <c r="C105" s="27">
        <v>401</v>
      </c>
      <c r="D105" s="27">
        <v>401</v>
      </c>
      <c r="E105" s="27">
        <v>401</v>
      </c>
      <c r="F105" s="27">
        <v>401</v>
      </c>
      <c r="G105" s="27">
        <v>401</v>
      </c>
      <c r="I105" s="14">
        <v>97</v>
      </c>
      <c r="J105" s="15">
        <f t="shared" si="4"/>
        <v>1</v>
      </c>
      <c r="K105" s="15">
        <v>0</v>
      </c>
      <c r="L105" s="15">
        <f t="shared" si="5"/>
        <v>1</v>
      </c>
      <c r="M105" s="15">
        <v>0</v>
      </c>
      <c r="N105" s="15">
        <f t="shared" si="6"/>
        <v>1</v>
      </c>
      <c r="O105" s="15">
        <v>0</v>
      </c>
    </row>
    <row r="106" spans="1:15" x14ac:dyDescent="0.25">
      <c r="A106" s="14">
        <v>98</v>
      </c>
      <c r="B106" s="27" t="s">
        <v>114</v>
      </c>
      <c r="C106" s="27" t="s">
        <v>114</v>
      </c>
      <c r="D106" s="27" t="s">
        <v>115</v>
      </c>
      <c r="E106" s="27" t="s">
        <v>115</v>
      </c>
      <c r="F106" s="27">
        <v>0</v>
      </c>
      <c r="G106" s="27">
        <v>0</v>
      </c>
      <c r="I106" s="14">
        <v>98</v>
      </c>
      <c r="J106" s="15">
        <f t="shared" si="4"/>
        <v>1</v>
      </c>
      <c r="K106" s="15">
        <v>0</v>
      </c>
      <c r="L106" s="15">
        <f t="shared" si="5"/>
        <v>1</v>
      </c>
      <c r="M106" s="15">
        <v>0</v>
      </c>
      <c r="N106" s="15">
        <f t="shared" si="6"/>
        <v>0.5</v>
      </c>
      <c r="O106" s="15">
        <v>0.5</v>
      </c>
    </row>
    <row r="107" spans="1:15" x14ac:dyDescent="0.25">
      <c r="A107" s="14">
        <v>99</v>
      </c>
      <c r="B107" s="27" t="s">
        <v>107</v>
      </c>
      <c r="C107" s="27">
        <v>0</v>
      </c>
      <c r="D107" s="27">
        <v>0</v>
      </c>
      <c r="E107" s="27">
        <v>0</v>
      </c>
      <c r="F107" s="27" t="s">
        <v>116</v>
      </c>
      <c r="G107" s="27">
        <v>0</v>
      </c>
      <c r="I107" s="14">
        <v>99</v>
      </c>
      <c r="J107" s="15">
        <f t="shared" si="4"/>
        <v>1</v>
      </c>
      <c r="K107" s="15">
        <v>0.5</v>
      </c>
      <c r="L107" s="15">
        <f t="shared" si="5"/>
        <v>0.5</v>
      </c>
      <c r="M107" s="15">
        <v>0.5</v>
      </c>
      <c r="N107" s="15">
        <f t="shared" si="6"/>
        <v>1</v>
      </c>
      <c r="O107" s="15">
        <v>0.5</v>
      </c>
    </row>
    <row r="108" spans="1:15" x14ac:dyDescent="0.25">
      <c r="A108" s="14">
        <v>100</v>
      </c>
      <c r="B108" s="27" t="s">
        <v>117</v>
      </c>
      <c r="C108" s="27" t="s">
        <v>117</v>
      </c>
      <c r="D108" s="27" t="s">
        <v>118</v>
      </c>
      <c r="E108" s="27" t="s">
        <v>118</v>
      </c>
      <c r="F108" s="27" t="s">
        <v>118</v>
      </c>
      <c r="G108" s="27" t="s">
        <v>118</v>
      </c>
      <c r="I108" s="14">
        <v>100</v>
      </c>
      <c r="J108" s="15">
        <f t="shared" si="4"/>
        <v>1</v>
      </c>
      <c r="K108" s="15">
        <v>0</v>
      </c>
      <c r="L108" s="15">
        <f t="shared" si="5"/>
        <v>1</v>
      </c>
      <c r="M108" s="15">
        <v>0</v>
      </c>
      <c r="N108" s="15">
        <f t="shared" si="6"/>
        <v>1</v>
      </c>
      <c r="O108" s="15">
        <v>0</v>
      </c>
    </row>
    <row r="109" spans="1:15" x14ac:dyDescent="0.25">
      <c r="A109" s="14">
        <v>101</v>
      </c>
      <c r="B109" s="27" t="s">
        <v>119</v>
      </c>
      <c r="C109" s="27" t="s">
        <v>119</v>
      </c>
      <c r="D109" s="27" t="s">
        <v>119</v>
      </c>
      <c r="E109" s="27" t="s">
        <v>119</v>
      </c>
      <c r="F109" s="27" t="s">
        <v>119</v>
      </c>
      <c r="G109" s="27">
        <v>0</v>
      </c>
      <c r="I109" s="14">
        <v>101</v>
      </c>
      <c r="J109" s="15">
        <f t="shared" si="4"/>
        <v>1</v>
      </c>
      <c r="K109" s="15">
        <v>0</v>
      </c>
      <c r="L109" s="15">
        <f t="shared" si="5"/>
        <v>1</v>
      </c>
      <c r="M109" s="15">
        <v>0</v>
      </c>
      <c r="N109" s="15">
        <f t="shared" si="6"/>
        <v>1</v>
      </c>
      <c r="O109" s="15">
        <v>0.5</v>
      </c>
    </row>
    <row r="110" spans="1:15" x14ac:dyDescent="0.25">
      <c r="A110" s="14">
        <v>102</v>
      </c>
      <c r="B110" s="27" t="s">
        <v>120</v>
      </c>
      <c r="C110" s="27" t="s">
        <v>120</v>
      </c>
      <c r="D110" s="27" t="s">
        <v>120</v>
      </c>
      <c r="E110" s="27" t="s">
        <v>120</v>
      </c>
      <c r="F110" s="27" t="s">
        <v>120</v>
      </c>
      <c r="G110" s="27" t="s">
        <v>120</v>
      </c>
      <c r="I110" s="14">
        <v>102</v>
      </c>
      <c r="J110" s="15">
        <f t="shared" si="4"/>
        <v>1</v>
      </c>
      <c r="K110" s="15">
        <v>0</v>
      </c>
      <c r="L110" s="15">
        <f t="shared" si="5"/>
        <v>1</v>
      </c>
      <c r="M110" s="15">
        <v>0</v>
      </c>
      <c r="N110" s="15">
        <f t="shared" si="6"/>
        <v>1</v>
      </c>
      <c r="O110" s="15">
        <v>0</v>
      </c>
    </row>
    <row r="111" spans="1:15" x14ac:dyDescent="0.25">
      <c r="A111" s="14">
        <v>103</v>
      </c>
      <c r="B111" s="27" t="s">
        <v>121</v>
      </c>
      <c r="C111" s="27" t="s">
        <v>121</v>
      </c>
      <c r="D111" s="27" t="s">
        <v>121</v>
      </c>
      <c r="E111" s="27" t="s">
        <v>121</v>
      </c>
      <c r="F111" s="27" t="s">
        <v>121</v>
      </c>
      <c r="G111" s="27">
        <v>0</v>
      </c>
      <c r="I111" s="14">
        <v>103</v>
      </c>
      <c r="J111" s="15">
        <f t="shared" si="4"/>
        <v>1</v>
      </c>
      <c r="K111" s="15">
        <v>0</v>
      </c>
      <c r="L111" s="15">
        <f t="shared" si="5"/>
        <v>1</v>
      </c>
      <c r="M111" s="15">
        <v>0</v>
      </c>
      <c r="N111" s="15">
        <f t="shared" si="6"/>
        <v>1</v>
      </c>
      <c r="O111" s="15">
        <v>0.5</v>
      </c>
    </row>
    <row r="112" spans="1:15" x14ac:dyDescent="0.25">
      <c r="A112" s="14">
        <v>104</v>
      </c>
      <c r="B112" s="27" t="s">
        <v>122</v>
      </c>
      <c r="C112" s="27" t="s">
        <v>122</v>
      </c>
      <c r="D112" s="27" t="s">
        <v>122</v>
      </c>
      <c r="E112" s="27" t="s">
        <v>122</v>
      </c>
      <c r="F112" s="27" t="s">
        <v>122</v>
      </c>
      <c r="G112" s="27">
        <v>0</v>
      </c>
      <c r="I112" s="14">
        <v>104</v>
      </c>
      <c r="J112" s="15">
        <f t="shared" si="4"/>
        <v>1</v>
      </c>
      <c r="K112" s="15">
        <v>0</v>
      </c>
      <c r="L112" s="15">
        <f t="shared" si="5"/>
        <v>1</v>
      </c>
      <c r="M112" s="15">
        <v>0</v>
      </c>
      <c r="N112" s="15">
        <f t="shared" si="6"/>
        <v>1</v>
      </c>
      <c r="O112" s="15">
        <v>0.5</v>
      </c>
    </row>
    <row r="113" spans="1:15" x14ac:dyDescent="0.25">
      <c r="A113" s="14">
        <v>105</v>
      </c>
      <c r="B113" s="27" t="s">
        <v>39</v>
      </c>
      <c r="C113" s="27" t="s">
        <v>39</v>
      </c>
      <c r="D113" s="27" t="s">
        <v>39</v>
      </c>
      <c r="E113" s="27" t="s">
        <v>39</v>
      </c>
      <c r="F113" s="27" t="s">
        <v>39</v>
      </c>
      <c r="G113" s="27" t="s">
        <v>39</v>
      </c>
      <c r="I113" s="14">
        <v>105</v>
      </c>
      <c r="J113" s="15">
        <f t="shared" si="4"/>
        <v>1</v>
      </c>
      <c r="K113" s="15">
        <v>0</v>
      </c>
      <c r="L113" s="15">
        <f t="shared" si="5"/>
        <v>1</v>
      </c>
      <c r="M113" s="15">
        <v>0</v>
      </c>
      <c r="N113" s="15">
        <f t="shared" si="6"/>
        <v>1</v>
      </c>
      <c r="O113" s="15">
        <v>0</v>
      </c>
    </row>
    <row r="114" spans="1:15" x14ac:dyDescent="0.25">
      <c r="A114" s="14">
        <v>106</v>
      </c>
      <c r="B114" s="27" t="s">
        <v>123</v>
      </c>
      <c r="C114" s="27" t="s">
        <v>123</v>
      </c>
      <c r="D114" s="27" t="s">
        <v>123</v>
      </c>
      <c r="E114" s="27" t="s">
        <v>123</v>
      </c>
      <c r="F114" s="27">
        <v>0</v>
      </c>
      <c r="G114" s="27">
        <v>0</v>
      </c>
      <c r="I114" s="14">
        <v>106</v>
      </c>
      <c r="J114" s="15">
        <f t="shared" si="4"/>
        <v>1</v>
      </c>
      <c r="K114" s="15">
        <v>0</v>
      </c>
      <c r="L114" s="15">
        <f t="shared" si="5"/>
        <v>1</v>
      </c>
      <c r="M114" s="15">
        <v>0</v>
      </c>
      <c r="N114" s="15">
        <f t="shared" si="6"/>
        <v>0.5</v>
      </c>
      <c r="O114" s="15">
        <v>0.5</v>
      </c>
    </row>
    <row r="115" spans="1:15" x14ac:dyDescent="0.25">
      <c r="A115" s="14">
        <v>107</v>
      </c>
      <c r="B115" s="27" t="s">
        <v>124</v>
      </c>
      <c r="C115" s="27" t="s">
        <v>124</v>
      </c>
      <c r="D115" s="27" t="s">
        <v>124</v>
      </c>
      <c r="E115" s="27" t="s">
        <v>124</v>
      </c>
      <c r="F115" s="27" t="s">
        <v>124</v>
      </c>
      <c r="G115" s="27" t="s">
        <v>124</v>
      </c>
      <c r="I115" s="14">
        <v>107</v>
      </c>
      <c r="J115" s="15">
        <f t="shared" si="4"/>
        <v>1</v>
      </c>
      <c r="K115" s="15">
        <v>0</v>
      </c>
      <c r="L115" s="15">
        <f t="shared" si="5"/>
        <v>1</v>
      </c>
      <c r="M115" s="15">
        <v>0</v>
      </c>
      <c r="N115" s="15">
        <f t="shared" si="6"/>
        <v>1</v>
      </c>
      <c r="O115" s="15">
        <v>0</v>
      </c>
    </row>
    <row r="116" spans="1:15" x14ac:dyDescent="0.25">
      <c r="A116" s="14">
        <v>108</v>
      </c>
      <c r="B116" s="27" t="s">
        <v>125</v>
      </c>
      <c r="C116" s="27" t="s">
        <v>125</v>
      </c>
      <c r="D116" s="27" t="s">
        <v>125</v>
      </c>
      <c r="E116" s="27" t="s">
        <v>125</v>
      </c>
      <c r="F116" s="27" t="s">
        <v>125</v>
      </c>
      <c r="G116" s="27" t="s">
        <v>125</v>
      </c>
      <c r="I116" s="14">
        <v>108</v>
      </c>
      <c r="J116" s="15">
        <f t="shared" si="4"/>
        <v>1</v>
      </c>
      <c r="K116" s="15">
        <v>0</v>
      </c>
      <c r="L116" s="15">
        <f t="shared" si="5"/>
        <v>1</v>
      </c>
      <c r="M116" s="15">
        <v>0</v>
      </c>
      <c r="N116" s="15">
        <f t="shared" si="6"/>
        <v>1</v>
      </c>
      <c r="O116" s="15">
        <v>0</v>
      </c>
    </row>
    <row r="117" spans="1:15" x14ac:dyDescent="0.25">
      <c r="A117" s="14">
        <v>109</v>
      </c>
      <c r="B117" s="27" t="s">
        <v>126</v>
      </c>
      <c r="C117" s="27" t="s">
        <v>126</v>
      </c>
      <c r="D117" s="27" t="s">
        <v>126</v>
      </c>
      <c r="E117" s="27" t="s">
        <v>126</v>
      </c>
      <c r="F117" s="27" t="s">
        <v>126</v>
      </c>
      <c r="G117" s="27">
        <v>0</v>
      </c>
      <c r="I117" s="14">
        <v>109</v>
      </c>
      <c r="J117" s="15">
        <f t="shared" si="4"/>
        <v>1</v>
      </c>
      <c r="K117" s="15">
        <v>0</v>
      </c>
      <c r="L117" s="15">
        <f t="shared" si="5"/>
        <v>1</v>
      </c>
      <c r="M117" s="15">
        <v>0</v>
      </c>
      <c r="N117" s="15">
        <f t="shared" si="6"/>
        <v>1</v>
      </c>
      <c r="O117" s="15">
        <v>0.5</v>
      </c>
    </row>
    <row r="118" spans="1:15" x14ac:dyDescent="0.25">
      <c r="A118" s="14">
        <v>110</v>
      </c>
      <c r="B118" s="27">
        <v>0</v>
      </c>
      <c r="C118" s="27">
        <v>0</v>
      </c>
      <c r="D118" s="27" t="s">
        <v>99</v>
      </c>
      <c r="E118" s="27" t="s">
        <v>99</v>
      </c>
      <c r="F118" s="27">
        <v>0</v>
      </c>
      <c r="G118" s="27">
        <v>0</v>
      </c>
      <c r="I118" s="14">
        <v>110</v>
      </c>
      <c r="J118" s="15">
        <f t="shared" si="4"/>
        <v>0.5</v>
      </c>
      <c r="K118" s="15">
        <v>0.5</v>
      </c>
      <c r="L118" s="15">
        <f t="shared" si="5"/>
        <v>1</v>
      </c>
      <c r="M118" s="15">
        <v>0</v>
      </c>
      <c r="N118" s="15">
        <f t="shared" si="6"/>
        <v>0.5</v>
      </c>
      <c r="O118" s="15">
        <v>0.5</v>
      </c>
    </row>
    <row r="119" spans="1:15" x14ac:dyDescent="0.25">
      <c r="A119" s="14">
        <v>111</v>
      </c>
      <c r="B119" s="27">
        <v>0</v>
      </c>
      <c r="C119" s="27">
        <v>0</v>
      </c>
      <c r="D119" s="27">
        <v>0</v>
      </c>
      <c r="E119" s="27">
        <v>0</v>
      </c>
      <c r="F119" s="27">
        <v>0</v>
      </c>
      <c r="G119" s="27">
        <v>0</v>
      </c>
      <c r="I119" s="14">
        <v>111</v>
      </c>
      <c r="J119" s="15">
        <f t="shared" si="4"/>
        <v>0.5</v>
      </c>
      <c r="K119" s="15">
        <v>0.5</v>
      </c>
      <c r="L119" s="15">
        <f t="shared" si="5"/>
        <v>0.5</v>
      </c>
      <c r="M119" s="15">
        <v>0.5</v>
      </c>
      <c r="N119" s="15">
        <f t="shared" si="6"/>
        <v>0.5</v>
      </c>
      <c r="O119" s="15">
        <v>0.5</v>
      </c>
    </row>
    <row r="120" spans="1:15" x14ac:dyDescent="0.25">
      <c r="A120" s="14">
        <v>112</v>
      </c>
      <c r="B120" s="27">
        <v>0</v>
      </c>
      <c r="C120" s="27">
        <v>0</v>
      </c>
      <c r="D120" s="27">
        <v>0</v>
      </c>
      <c r="E120" s="27">
        <v>0</v>
      </c>
      <c r="F120" s="27">
        <v>0</v>
      </c>
      <c r="G120" s="27">
        <v>0</v>
      </c>
      <c r="I120" s="14">
        <v>112</v>
      </c>
      <c r="J120" s="15">
        <f t="shared" si="4"/>
        <v>0.5</v>
      </c>
      <c r="K120" s="15">
        <v>0.5</v>
      </c>
      <c r="L120" s="15">
        <f t="shared" si="5"/>
        <v>0.5</v>
      </c>
      <c r="M120" s="15">
        <v>0.5</v>
      </c>
      <c r="N120" s="15">
        <f t="shared" si="6"/>
        <v>0.5</v>
      </c>
      <c r="O120" s="15">
        <v>0.5</v>
      </c>
    </row>
    <row r="121" spans="1:15" x14ac:dyDescent="0.25">
      <c r="A121" s="14">
        <v>113</v>
      </c>
      <c r="B121" s="27">
        <v>0</v>
      </c>
      <c r="C121" s="27">
        <v>0</v>
      </c>
      <c r="D121" s="27">
        <v>0</v>
      </c>
      <c r="E121" s="27">
        <v>0</v>
      </c>
      <c r="F121" s="27">
        <v>0</v>
      </c>
      <c r="G121" s="27">
        <v>0</v>
      </c>
      <c r="I121" s="14">
        <v>113</v>
      </c>
      <c r="J121" s="15">
        <f t="shared" si="4"/>
        <v>0.5</v>
      </c>
      <c r="K121" s="15">
        <v>0.5</v>
      </c>
      <c r="L121" s="15">
        <f t="shared" si="5"/>
        <v>0.5</v>
      </c>
      <c r="M121" s="15">
        <v>0.5</v>
      </c>
      <c r="N121" s="15">
        <f t="shared" si="6"/>
        <v>0.5</v>
      </c>
      <c r="O121" s="15">
        <v>0.5</v>
      </c>
    </row>
    <row r="122" spans="1:15" x14ac:dyDescent="0.25">
      <c r="A122" s="14">
        <v>114</v>
      </c>
      <c r="B122" s="27">
        <v>0</v>
      </c>
      <c r="C122" s="27">
        <v>0</v>
      </c>
      <c r="D122" s="27">
        <v>0</v>
      </c>
      <c r="E122" s="27">
        <v>0</v>
      </c>
      <c r="F122" s="27">
        <v>0</v>
      </c>
      <c r="G122" s="27">
        <v>0</v>
      </c>
      <c r="I122" s="14">
        <v>114</v>
      </c>
      <c r="J122" s="15">
        <f t="shared" si="4"/>
        <v>0.5</v>
      </c>
      <c r="K122" s="15">
        <v>0.5</v>
      </c>
      <c r="L122" s="15">
        <f t="shared" si="5"/>
        <v>0.5</v>
      </c>
      <c r="M122" s="15">
        <v>0.5</v>
      </c>
      <c r="N122" s="15">
        <f t="shared" si="6"/>
        <v>0.5</v>
      </c>
      <c r="O122" s="15">
        <v>0.5</v>
      </c>
    </row>
    <row r="123" spans="1:15" x14ac:dyDescent="0.25">
      <c r="A123" s="14">
        <v>115</v>
      </c>
      <c r="B123" s="27" t="s">
        <v>127</v>
      </c>
      <c r="C123" s="27" t="s">
        <v>127</v>
      </c>
      <c r="D123" s="27" t="s">
        <v>127</v>
      </c>
      <c r="E123" s="27" t="s">
        <v>127</v>
      </c>
      <c r="F123" s="27">
        <v>0</v>
      </c>
      <c r="G123" s="27">
        <v>0</v>
      </c>
      <c r="I123" s="14">
        <v>115</v>
      </c>
      <c r="J123" s="15">
        <f t="shared" si="4"/>
        <v>1</v>
      </c>
      <c r="K123" s="15">
        <v>0</v>
      </c>
      <c r="L123" s="15">
        <f t="shared" si="5"/>
        <v>1</v>
      </c>
      <c r="M123" s="15">
        <v>0</v>
      </c>
      <c r="N123" s="15">
        <f t="shared" si="6"/>
        <v>0.5</v>
      </c>
      <c r="O123" s="15">
        <v>0.5</v>
      </c>
    </row>
    <row r="124" spans="1:15" x14ac:dyDescent="0.25">
      <c r="A124" s="14">
        <v>116</v>
      </c>
      <c r="B124" s="27" t="s">
        <v>128</v>
      </c>
      <c r="C124" s="27" t="s">
        <v>128</v>
      </c>
      <c r="D124" s="27" t="s">
        <v>128</v>
      </c>
      <c r="E124" s="27" t="s">
        <v>128</v>
      </c>
      <c r="F124" s="27" t="s">
        <v>128</v>
      </c>
      <c r="G124" s="27" t="s">
        <v>128</v>
      </c>
      <c r="I124" s="14">
        <v>116</v>
      </c>
      <c r="J124" s="15">
        <f t="shared" si="4"/>
        <v>1</v>
      </c>
      <c r="K124" s="15">
        <v>0</v>
      </c>
      <c r="L124" s="15">
        <f t="shared" si="5"/>
        <v>1</v>
      </c>
      <c r="M124" s="15">
        <v>0</v>
      </c>
      <c r="N124" s="15">
        <f t="shared" si="6"/>
        <v>1</v>
      </c>
      <c r="O124" s="15">
        <v>0</v>
      </c>
    </row>
    <row r="125" spans="1:15" x14ac:dyDescent="0.25">
      <c r="A125" s="14">
        <v>117</v>
      </c>
      <c r="B125" s="27" t="s">
        <v>129</v>
      </c>
      <c r="C125" s="27" t="s">
        <v>129</v>
      </c>
      <c r="D125" s="27">
        <v>0</v>
      </c>
      <c r="E125" s="27" t="s">
        <v>129</v>
      </c>
      <c r="F125" s="27">
        <v>0</v>
      </c>
      <c r="G125" s="27">
        <v>0</v>
      </c>
      <c r="I125" s="14">
        <v>117</v>
      </c>
      <c r="J125" s="15">
        <f t="shared" si="4"/>
        <v>1</v>
      </c>
      <c r="K125" s="15">
        <v>0</v>
      </c>
      <c r="L125" s="15">
        <f t="shared" si="5"/>
        <v>0.5</v>
      </c>
      <c r="M125" s="15">
        <v>1</v>
      </c>
      <c r="N125" s="15">
        <f t="shared" si="6"/>
        <v>0.5</v>
      </c>
      <c r="O125" s="15">
        <v>0.5</v>
      </c>
    </row>
    <row r="126" spans="1:15" x14ac:dyDescent="0.25">
      <c r="A126" s="14">
        <v>118</v>
      </c>
      <c r="B126" s="27" t="s">
        <v>68</v>
      </c>
      <c r="C126" s="27" t="s">
        <v>68</v>
      </c>
      <c r="D126" s="27" t="s">
        <v>68</v>
      </c>
      <c r="E126" s="27" t="s">
        <v>68</v>
      </c>
      <c r="F126" s="27">
        <v>0</v>
      </c>
      <c r="G126" s="27">
        <v>0</v>
      </c>
      <c r="I126" s="14">
        <v>118</v>
      </c>
      <c r="J126" s="15">
        <f t="shared" si="4"/>
        <v>1</v>
      </c>
      <c r="K126" s="15">
        <v>0</v>
      </c>
      <c r="L126" s="15">
        <f t="shared" si="5"/>
        <v>1</v>
      </c>
      <c r="M126" s="15">
        <v>0</v>
      </c>
      <c r="N126" s="15">
        <f t="shared" si="6"/>
        <v>0.5</v>
      </c>
      <c r="O126" s="15">
        <v>0.5</v>
      </c>
    </row>
    <row r="127" spans="1:15" x14ac:dyDescent="0.25">
      <c r="A127" s="14">
        <v>119</v>
      </c>
      <c r="B127" s="27" t="s">
        <v>128</v>
      </c>
      <c r="C127" s="27" t="s">
        <v>128</v>
      </c>
      <c r="D127" s="27" t="s">
        <v>128</v>
      </c>
      <c r="E127" s="27" t="s">
        <v>128</v>
      </c>
      <c r="F127" s="27">
        <v>0</v>
      </c>
      <c r="G127" s="27">
        <v>0</v>
      </c>
      <c r="I127" s="14">
        <v>119</v>
      </c>
      <c r="J127" s="15">
        <f t="shared" si="4"/>
        <v>1</v>
      </c>
      <c r="K127" s="15">
        <v>0</v>
      </c>
      <c r="L127" s="15">
        <f t="shared" si="5"/>
        <v>1</v>
      </c>
      <c r="M127" s="15">
        <v>0</v>
      </c>
      <c r="N127" s="15">
        <f t="shared" si="6"/>
        <v>0.5</v>
      </c>
      <c r="O127" s="15">
        <v>0.5</v>
      </c>
    </row>
    <row r="128" spans="1:15" x14ac:dyDescent="0.25">
      <c r="A128" s="14">
        <v>120</v>
      </c>
      <c r="B128" s="27">
        <v>0</v>
      </c>
      <c r="C128" s="27">
        <v>0</v>
      </c>
      <c r="D128" s="27">
        <v>0</v>
      </c>
      <c r="E128" s="27">
        <v>0</v>
      </c>
      <c r="F128" s="27">
        <v>0</v>
      </c>
      <c r="G128" s="27">
        <v>0</v>
      </c>
      <c r="I128" s="14">
        <v>120</v>
      </c>
      <c r="J128" s="15">
        <f t="shared" si="4"/>
        <v>0.5</v>
      </c>
      <c r="K128" s="15">
        <v>0.5</v>
      </c>
      <c r="L128" s="15">
        <f t="shared" si="5"/>
        <v>0.5</v>
      </c>
      <c r="M128" s="15">
        <v>0.5</v>
      </c>
      <c r="N128" s="15">
        <f t="shared" si="6"/>
        <v>0.5</v>
      </c>
      <c r="O128" s="15">
        <v>0.5</v>
      </c>
    </row>
    <row r="129" spans="1:15" x14ac:dyDescent="0.25">
      <c r="A129" s="14">
        <v>121</v>
      </c>
      <c r="B129" s="27">
        <v>0</v>
      </c>
      <c r="C129" s="27">
        <v>0</v>
      </c>
      <c r="D129" s="27">
        <v>0</v>
      </c>
      <c r="E129" s="27">
        <v>0</v>
      </c>
      <c r="F129" s="27">
        <v>0</v>
      </c>
      <c r="G129" s="27">
        <v>0</v>
      </c>
      <c r="I129" s="14">
        <v>121</v>
      </c>
      <c r="J129" s="15">
        <f t="shared" si="4"/>
        <v>0.5</v>
      </c>
      <c r="K129" s="15">
        <v>0.5</v>
      </c>
      <c r="L129" s="15">
        <f t="shared" si="5"/>
        <v>0.5</v>
      </c>
      <c r="M129" s="15">
        <v>0.5</v>
      </c>
      <c r="N129" s="15">
        <f t="shared" si="6"/>
        <v>0.5</v>
      </c>
      <c r="O129" s="15">
        <v>0.5</v>
      </c>
    </row>
    <row r="130" spans="1:15" x14ac:dyDescent="0.25">
      <c r="A130" s="14">
        <v>122</v>
      </c>
      <c r="B130" s="27" t="s">
        <v>130</v>
      </c>
      <c r="C130" s="27" t="s">
        <v>130</v>
      </c>
      <c r="D130" s="27" t="s">
        <v>130</v>
      </c>
      <c r="E130" s="27" t="s">
        <v>130</v>
      </c>
      <c r="F130" s="27">
        <v>0</v>
      </c>
      <c r="G130" s="27">
        <v>0</v>
      </c>
      <c r="I130" s="14">
        <v>122</v>
      </c>
      <c r="J130" s="15">
        <f t="shared" si="4"/>
        <v>1</v>
      </c>
      <c r="K130" s="15">
        <v>0</v>
      </c>
      <c r="L130" s="15">
        <f t="shared" si="5"/>
        <v>1</v>
      </c>
      <c r="M130" s="15">
        <v>0</v>
      </c>
      <c r="N130" s="15">
        <f t="shared" si="6"/>
        <v>0.5</v>
      </c>
      <c r="O130" s="15">
        <v>0.5</v>
      </c>
    </row>
    <row r="131" spans="1:15" x14ac:dyDescent="0.25">
      <c r="A131" s="14">
        <v>123</v>
      </c>
      <c r="B131" s="27" t="s">
        <v>112</v>
      </c>
      <c r="C131" s="27" t="s">
        <v>112</v>
      </c>
      <c r="D131" s="27">
        <v>0</v>
      </c>
      <c r="E131" s="27">
        <v>0</v>
      </c>
      <c r="F131" s="27">
        <v>0</v>
      </c>
      <c r="G131" s="27">
        <v>0</v>
      </c>
      <c r="I131" s="14">
        <v>123</v>
      </c>
      <c r="J131" s="15">
        <f t="shared" si="4"/>
        <v>1</v>
      </c>
      <c r="K131" s="15">
        <v>0</v>
      </c>
      <c r="L131" s="15">
        <f t="shared" si="5"/>
        <v>0.5</v>
      </c>
      <c r="M131" s="15">
        <v>0.5</v>
      </c>
      <c r="N131" s="15">
        <f t="shared" si="6"/>
        <v>0.5</v>
      </c>
      <c r="O131" s="15">
        <v>0.5</v>
      </c>
    </row>
    <row r="132" spans="1:15" x14ac:dyDescent="0.25">
      <c r="A132" s="14">
        <v>124</v>
      </c>
      <c r="B132" s="27" t="s">
        <v>104</v>
      </c>
      <c r="C132" s="27" t="s">
        <v>104</v>
      </c>
      <c r="D132" s="27" t="s">
        <v>104</v>
      </c>
      <c r="E132" s="27" t="s">
        <v>104</v>
      </c>
      <c r="F132" s="27" t="s">
        <v>104</v>
      </c>
      <c r="G132" s="27" t="s">
        <v>104</v>
      </c>
      <c r="I132" s="14">
        <v>124</v>
      </c>
      <c r="J132" s="15">
        <f t="shared" si="4"/>
        <v>1</v>
      </c>
      <c r="K132" s="15">
        <v>0</v>
      </c>
      <c r="L132" s="15">
        <f t="shared" si="5"/>
        <v>1</v>
      </c>
      <c r="M132" s="15">
        <v>0</v>
      </c>
      <c r="N132" s="15">
        <f t="shared" si="6"/>
        <v>1</v>
      </c>
      <c r="O132" s="15">
        <v>0</v>
      </c>
    </row>
    <row r="133" spans="1:15" x14ac:dyDescent="0.25">
      <c r="A133" s="14">
        <v>125</v>
      </c>
      <c r="B133" s="27" t="s">
        <v>49</v>
      </c>
      <c r="C133" s="27" t="s">
        <v>49</v>
      </c>
      <c r="D133" s="27" t="s">
        <v>49</v>
      </c>
      <c r="E133" s="27" t="s">
        <v>49</v>
      </c>
      <c r="F133" s="27">
        <v>0</v>
      </c>
      <c r="G133" s="27">
        <v>0</v>
      </c>
      <c r="I133" s="14">
        <v>125</v>
      </c>
      <c r="J133" s="15">
        <f t="shared" si="4"/>
        <v>1</v>
      </c>
      <c r="K133" s="15">
        <v>0</v>
      </c>
      <c r="L133" s="15">
        <f t="shared" si="5"/>
        <v>1</v>
      </c>
      <c r="M133" s="15">
        <v>0</v>
      </c>
      <c r="N133" s="15">
        <f t="shared" si="6"/>
        <v>0.5</v>
      </c>
      <c r="O133" s="15">
        <v>0.5</v>
      </c>
    </row>
    <row r="134" spans="1:15" x14ac:dyDescent="0.25">
      <c r="A134" s="14">
        <v>126</v>
      </c>
      <c r="B134" s="27" t="s">
        <v>131</v>
      </c>
      <c r="C134" s="27" t="s">
        <v>131</v>
      </c>
      <c r="D134" s="27">
        <v>0</v>
      </c>
      <c r="E134" s="27">
        <v>0</v>
      </c>
      <c r="F134" s="27">
        <v>0</v>
      </c>
      <c r="G134" s="27">
        <v>0</v>
      </c>
      <c r="I134" s="14">
        <v>126</v>
      </c>
      <c r="J134" s="15">
        <f t="shared" si="4"/>
        <v>1</v>
      </c>
      <c r="K134" s="15">
        <v>0</v>
      </c>
      <c r="L134" s="15">
        <f t="shared" si="5"/>
        <v>0.5</v>
      </c>
      <c r="M134" s="15">
        <v>0.5</v>
      </c>
      <c r="N134" s="15">
        <f t="shared" si="6"/>
        <v>0.5</v>
      </c>
      <c r="O134" s="15">
        <v>0.5</v>
      </c>
    </row>
    <row r="135" spans="1:15" x14ac:dyDescent="0.25">
      <c r="A135" s="14">
        <v>127</v>
      </c>
      <c r="B135" s="27" t="s">
        <v>132</v>
      </c>
      <c r="C135" s="27" t="s">
        <v>132</v>
      </c>
      <c r="D135" s="27">
        <v>0</v>
      </c>
      <c r="E135" s="27" t="s">
        <v>47</v>
      </c>
      <c r="F135" s="27">
        <v>0</v>
      </c>
      <c r="G135" s="27">
        <v>0</v>
      </c>
      <c r="I135" s="14">
        <v>127</v>
      </c>
      <c r="J135" s="15">
        <f t="shared" si="4"/>
        <v>1</v>
      </c>
      <c r="K135" s="15">
        <v>0</v>
      </c>
      <c r="L135" s="15">
        <f t="shared" si="5"/>
        <v>0.5</v>
      </c>
      <c r="M135" s="15">
        <v>1</v>
      </c>
      <c r="N135" s="15">
        <f t="shared" si="6"/>
        <v>0.5</v>
      </c>
      <c r="O135" s="15">
        <v>0.5</v>
      </c>
    </row>
    <row r="136" spans="1:15" x14ac:dyDescent="0.25">
      <c r="A136" s="16">
        <v>128</v>
      </c>
      <c r="B136" s="27" t="s">
        <v>120</v>
      </c>
      <c r="C136" s="27" t="s">
        <v>120</v>
      </c>
      <c r="D136" s="27" t="s">
        <v>120</v>
      </c>
      <c r="E136" s="27">
        <v>0</v>
      </c>
      <c r="F136" s="27">
        <v>0</v>
      </c>
      <c r="G136" s="27">
        <v>0</v>
      </c>
      <c r="I136" s="14">
        <v>128</v>
      </c>
      <c r="J136" s="15">
        <f t="shared" si="4"/>
        <v>1</v>
      </c>
      <c r="K136" s="15">
        <v>0</v>
      </c>
      <c r="L136" s="15">
        <f t="shared" si="5"/>
        <v>1</v>
      </c>
      <c r="M136" s="15">
        <v>0.5</v>
      </c>
      <c r="N136" s="15">
        <f t="shared" si="6"/>
        <v>0.5</v>
      </c>
      <c r="O136" s="15">
        <v>0.5</v>
      </c>
    </row>
    <row r="137" spans="1:15" ht="16.5" thickBot="1" x14ac:dyDescent="0.3">
      <c r="A137" s="17"/>
      <c r="J137" s="18">
        <f t="shared" ref="J137:O137" si="7">SUMIF(J9:J136,"&gt;0.5")</f>
        <v>102</v>
      </c>
      <c r="K137" s="18">
        <f t="shared" si="7"/>
        <v>5</v>
      </c>
      <c r="L137" s="18">
        <f t="shared" si="7"/>
        <v>91</v>
      </c>
      <c r="M137" s="18">
        <f t="shared" si="7"/>
        <v>6</v>
      </c>
      <c r="N137" s="18">
        <f t="shared" si="7"/>
        <v>75</v>
      </c>
      <c r="O137" s="18">
        <f t="shared" si="7"/>
        <v>2</v>
      </c>
    </row>
    <row r="138" spans="1:15" ht="15.75" thickTop="1" x14ac:dyDescent="0.25">
      <c r="A138" s="17"/>
    </row>
    <row r="139" spans="1:15" ht="15.75" x14ac:dyDescent="0.25">
      <c r="A139" s="17"/>
      <c r="I139" s="5" t="s">
        <v>133</v>
      </c>
      <c r="J139" s="19">
        <f>I136</f>
        <v>128</v>
      </c>
      <c r="K139" s="20" t="s">
        <v>134</v>
      </c>
      <c r="L139" s="19">
        <f>I136</f>
        <v>128</v>
      </c>
      <c r="M139" s="20" t="s">
        <v>134</v>
      </c>
      <c r="N139" s="19">
        <f>I136</f>
        <v>128</v>
      </c>
      <c r="O139" s="20" t="s">
        <v>134</v>
      </c>
    </row>
    <row r="140" spans="1:15" ht="15.75" x14ac:dyDescent="0.25">
      <c r="A140" s="17"/>
      <c r="I140" s="5" t="s">
        <v>135</v>
      </c>
      <c r="J140" s="19">
        <f>J137+K137</f>
        <v>107</v>
      </c>
      <c r="K140" s="20" t="s">
        <v>134</v>
      </c>
      <c r="L140" s="19">
        <f>L137+M137</f>
        <v>97</v>
      </c>
      <c r="M140" s="20" t="s">
        <v>134</v>
      </c>
      <c r="N140" s="19">
        <f>N137+O137</f>
        <v>77</v>
      </c>
      <c r="O140" s="20" t="s">
        <v>134</v>
      </c>
    </row>
    <row r="141" spans="1:15" ht="30" x14ac:dyDescent="0.25">
      <c r="A141" s="17"/>
      <c r="I141" s="21" t="s">
        <v>136</v>
      </c>
      <c r="J141" s="22">
        <f>SUM(SUMIF(J9:J136,0.5)+SUMIF(K9:K136,0.5))</f>
        <v>27</v>
      </c>
      <c r="K141" s="23" t="s">
        <v>134</v>
      </c>
      <c r="L141" s="22">
        <f>SUM(SUMIF(L9:L136,0.5)+SUMIF(M9:M136,0.5))</f>
        <v>35</v>
      </c>
      <c r="M141" s="23" t="s">
        <v>134</v>
      </c>
      <c r="N141" s="22">
        <f>SUM(SUMIF(N9:N136,0.5)+SUMIF(O9:O136,0.5))</f>
        <v>71.5</v>
      </c>
      <c r="O141" s="20" t="s">
        <v>134</v>
      </c>
    </row>
    <row r="142" spans="1:15" ht="30" x14ac:dyDescent="0.25">
      <c r="A142" s="17"/>
      <c r="I142" s="21" t="s">
        <v>137</v>
      </c>
      <c r="J142" s="24">
        <f>J140/J139</f>
        <v>0.8359375</v>
      </c>
      <c r="K142" s="25" t="s">
        <v>138</v>
      </c>
      <c r="L142" s="24">
        <f>L140/L139</f>
        <v>0.7578125</v>
      </c>
      <c r="M142" s="25" t="s">
        <v>138</v>
      </c>
      <c r="N142" s="24">
        <f>N140/N139</f>
        <v>0.6015625</v>
      </c>
      <c r="O142" s="25" t="s">
        <v>138</v>
      </c>
    </row>
    <row r="143" spans="1:15" ht="30" x14ac:dyDescent="0.25">
      <c r="A143" s="17" t="s">
        <v>139</v>
      </c>
      <c r="I143" s="21" t="s">
        <v>140</v>
      </c>
      <c r="J143" s="22">
        <f>1/J142</f>
        <v>1.1962616822429906</v>
      </c>
      <c r="K143" s="25" t="s">
        <v>141</v>
      </c>
      <c r="L143" s="22">
        <f>1/L142</f>
        <v>1.3195876288659794</v>
      </c>
      <c r="M143" s="25" t="s">
        <v>141</v>
      </c>
      <c r="N143" s="22">
        <f>1/N142</f>
        <v>1.6623376623376624</v>
      </c>
      <c r="O143" s="25" t="s">
        <v>141</v>
      </c>
    </row>
    <row r="144" spans="1:15" ht="105" x14ac:dyDescent="0.25">
      <c r="A144" s="17"/>
      <c r="I144" s="21" t="s">
        <v>142</v>
      </c>
      <c r="J144" s="26">
        <f>(J139-J141)/J139</f>
        <v>0.7890625</v>
      </c>
      <c r="K144" s="26"/>
      <c r="L144" s="26">
        <f t="shared" ref="L144:N144" si="8">(L139-L141)/L139</f>
        <v>0.7265625</v>
      </c>
      <c r="M144" s="26"/>
      <c r="N144" s="26">
        <f t="shared" si="8"/>
        <v>0.44140625</v>
      </c>
      <c r="O144" s="26"/>
    </row>
    <row r="145" spans="1:1" x14ac:dyDescent="0.25">
      <c r="A145" s="17"/>
    </row>
    <row r="146" spans="1:1" x14ac:dyDescent="0.25">
      <c r="A146" s="17"/>
    </row>
    <row r="147" spans="1:1" x14ac:dyDescent="0.25">
      <c r="A147" s="17"/>
    </row>
    <row r="148" spans="1:1" x14ac:dyDescent="0.25">
      <c r="A148" s="17"/>
    </row>
    <row r="149" spans="1:1" x14ac:dyDescent="0.25">
      <c r="A149" s="17"/>
    </row>
    <row r="150" spans="1:1" x14ac:dyDescent="0.25">
      <c r="A150" s="17"/>
    </row>
    <row r="151" spans="1:1" x14ac:dyDescent="0.25">
      <c r="A151" s="17"/>
    </row>
    <row r="152" spans="1:1" x14ac:dyDescent="0.25">
      <c r="A152" s="17"/>
    </row>
    <row r="153" spans="1:1" x14ac:dyDescent="0.25">
      <c r="A153" s="17"/>
    </row>
    <row r="154" spans="1:1" x14ac:dyDescent="0.25">
      <c r="A154" s="17"/>
    </row>
    <row r="155" spans="1:1" x14ac:dyDescent="0.25">
      <c r="A155" s="17"/>
    </row>
    <row r="156" spans="1:1" x14ac:dyDescent="0.25">
      <c r="A156" s="17"/>
    </row>
    <row r="157" spans="1:1" x14ac:dyDescent="0.25">
      <c r="A157" s="17"/>
    </row>
    <row r="158" spans="1:1" x14ac:dyDescent="0.25">
      <c r="A158" s="17"/>
    </row>
    <row r="159" spans="1:1" x14ac:dyDescent="0.25">
      <c r="A159" s="17"/>
    </row>
    <row r="160" spans="1:1" x14ac:dyDescent="0.25">
      <c r="A160" s="17"/>
    </row>
    <row r="161" spans="1:1" x14ac:dyDescent="0.25">
      <c r="A161" s="17"/>
    </row>
    <row r="162" spans="1:1" x14ac:dyDescent="0.25">
      <c r="A162" s="17"/>
    </row>
    <row r="163" spans="1:1" x14ac:dyDescent="0.25">
      <c r="A163" s="17"/>
    </row>
    <row r="164" spans="1:1" x14ac:dyDescent="0.25">
      <c r="A164" s="17"/>
    </row>
    <row r="165" spans="1:1" x14ac:dyDescent="0.25">
      <c r="A165" s="17"/>
    </row>
    <row r="166" spans="1:1" x14ac:dyDescent="0.25">
      <c r="A166" s="17"/>
    </row>
    <row r="167" spans="1:1" x14ac:dyDescent="0.25">
      <c r="A167" s="17"/>
    </row>
    <row r="168" spans="1:1" x14ac:dyDescent="0.25">
      <c r="A168" s="17"/>
    </row>
    <row r="169" spans="1:1" x14ac:dyDescent="0.25">
      <c r="A169" s="17"/>
    </row>
    <row r="170" spans="1:1" x14ac:dyDescent="0.25">
      <c r="A170" s="17"/>
    </row>
    <row r="171" spans="1:1" x14ac:dyDescent="0.25">
      <c r="A171" s="17"/>
    </row>
    <row r="172" spans="1:1" x14ac:dyDescent="0.25">
      <c r="A172" s="17"/>
    </row>
    <row r="173" spans="1:1" x14ac:dyDescent="0.25">
      <c r="A173" s="17"/>
    </row>
    <row r="174" spans="1:1" x14ac:dyDescent="0.25">
      <c r="A174" s="17"/>
    </row>
    <row r="175" spans="1:1" x14ac:dyDescent="0.25">
      <c r="A175" s="17"/>
    </row>
    <row r="176" spans="1:1" x14ac:dyDescent="0.25">
      <c r="A176" s="17"/>
    </row>
    <row r="177" spans="1:1" x14ac:dyDescent="0.25">
      <c r="A177" s="17"/>
    </row>
    <row r="178" spans="1:1" x14ac:dyDescent="0.25">
      <c r="A178" s="17"/>
    </row>
    <row r="179" spans="1:1" x14ac:dyDescent="0.25">
      <c r="A179" s="17"/>
    </row>
    <row r="180" spans="1:1" x14ac:dyDescent="0.25">
      <c r="A180" s="17"/>
    </row>
    <row r="181" spans="1:1" x14ac:dyDescent="0.25">
      <c r="A181" s="17"/>
    </row>
    <row r="182" spans="1:1" x14ac:dyDescent="0.25">
      <c r="A182" s="17"/>
    </row>
    <row r="183" spans="1:1" x14ac:dyDescent="0.25">
      <c r="A183" s="17"/>
    </row>
    <row r="184" spans="1:1" x14ac:dyDescent="0.25">
      <c r="A184" s="17"/>
    </row>
    <row r="185" spans="1:1" x14ac:dyDescent="0.25">
      <c r="A185" s="17"/>
    </row>
    <row r="186" spans="1:1" x14ac:dyDescent="0.25">
      <c r="A186" s="17"/>
    </row>
    <row r="187" spans="1:1" x14ac:dyDescent="0.25">
      <c r="A187" s="17"/>
    </row>
    <row r="188" spans="1:1" x14ac:dyDescent="0.25">
      <c r="A188" s="17"/>
    </row>
    <row r="189" spans="1:1" x14ac:dyDescent="0.25">
      <c r="A189" s="17"/>
    </row>
    <row r="190" spans="1:1" x14ac:dyDescent="0.25">
      <c r="A190" s="17"/>
    </row>
    <row r="191" spans="1:1" x14ac:dyDescent="0.25">
      <c r="A191" s="17"/>
    </row>
    <row r="192" spans="1:1" x14ac:dyDescent="0.25">
      <c r="A192" s="17"/>
    </row>
    <row r="193" spans="1:1" x14ac:dyDescent="0.25">
      <c r="A193" s="17"/>
    </row>
    <row r="194" spans="1:1" x14ac:dyDescent="0.25">
      <c r="A194" s="17"/>
    </row>
    <row r="195" spans="1:1" x14ac:dyDescent="0.25">
      <c r="A195" s="17"/>
    </row>
    <row r="196" spans="1:1" x14ac:dyDescent="0.25">
      <c r="A196" s="17"/>
    </row>
    <row r="197" spans="1:1" x14ac:dyDescent="0.25">
      <c r="A197" s="17"/>
    </row>
    <row r="198" spans="1:1" x14ac:dyDescent="0.25">
      <c r="A198" s="17"/>
    </row>
    <row r="199" spans="1:1" x14ac:dyDescent="0.25">
      <c r="A199" s="17"/>
    </row>
    <row r="200" spans="1:1" x14ac:dyDescent="0.25">
      <c r="A200" s="17"/>
    </row>
    <row r="201" spans="1:1" x14ac:dyDescent="0.25">
      <c r="A201" s="17"/>
    </row>
    <row r="202" spans="1:1" x14ac:dyDescent="0.25">
      <c r="A202" s="17"/>
    </row>
    <row r="203" spans="1:1" x14ac:dyDescent="0.25">
      <c r="A203" s="17"/>
    </row>
    <row r="204" spans="1:1" x14ac:dyDescent="0.25">
      <c r="A204" s="17"/>
    </row>
    <row r="205" spans="1:1" x14ac:dyDescent="0.25">
      <c r="A205" s="17"/>
    </row>
    <row r="206" spans="1:1" x14ac:dyDescent="0.25">
      <c r="A206" s="17"/>
    </row>
    <row r="207" spans="1:1" x14ac:dyDescent="0.25">
      <c r="A207" s="17"/>
    </row>
    <row r="208" spans="1:1" x14ac:dyDescent="0.25">
      <c r="A208" s="17"/>
    </row>
    <row r="209" spans="1:1" x14ac:dyDescent="0.25">
      <c r="A209" s="17"/>
    </row>
    <row r="210" spans="1:1" x14ac:dyDescent="0.25">
      <c r="A210" s="17"/>
    </row>
    <row r="211" spans="1:1" x14ac:dyDescent="0.25">
      <c r="A211" s="17"/>
    </row>
    <row r="212" spans="1:1" x14ac:dyDescent="0.25">
      <c r="A212" s="17"/>
    </row>
    <row r="213" spans="1:1" x14ac:dyDescent="0.25">
      <c r="A213" s="17"/>
    </row>
    <row r="214" spans="1:1" x14ac:dyDescent="0.25">
      <c r="A214" s="17"/>
    </row>
    <row r="215" spans="1:1" x14ac:dyDescent="0.25">
      <c r="A215" s="17"/>
    </row>
    <row r="216" spans="1:1" x14ac:dyDescent="0.25">
      <c r="A216" s="17"/>
    </row>
    <row r="217" spans="1:1" x14ac:dyDescent="0.25">
      <c r="A217" s="17"/>
    </row>
    <row r="218" spans="1:1" x14ac:dyDescent="0.25">
      <c r="A218" s="17"/>
    </row>
    <row r="219" spans="1:1" x14ac:dyDescent="0.25">
      <c r="A219" s="17"/>
    </row>
    <row r="220" spans="1:1" x14ac:dyDescent="0.25">
      <c r="A220" s="17"/>
    </row>
    <row r="221" spans="1:1" x14ac:dyDescent="0.25">
      <c r="A221" s="17"/>
    </row>
    <row r="222" spans="1:1" x14ac:dyDescent="0.25">
      <c r="A222" s="17"/>
    </row>
    <row r="223" spans="1:1" x14ac:dyDescent="0.25">
      <c r="A223" s="17"/>
    </row>
    <row r="224" spans="1:1" x14ac:dyDescent="0.25">
      <c r="A224" s="17"/>
    </row>
    <row r="225" spans="1:1" x14ac:dyDescent="0.25">
      <c r="A225" s="17"/>
    </row>
    <row r="226" spans="1:1" x14ac:dyDescent="0.25">
      <c r="A226" s="17"/>
    </row>
    <row r="227" spans="1:1" x14ac:dyDescent="0.25">
      <c r="A227" s="17"/>
    </row>
    <row r="228" spans="1:1" x14ac:dyDescent="0.25">
      <c r="A228" s="17"/>
    </row>
    <row r="229" spans="1:1" x14ac:dyDescent="0.25">
      <c r="A229" s="17"/>
    </row>
    <row r="230" spans="1:1" x14ac:dyDescent="0.25">
      <c r="A230" s="17"/>
    </row>
    <row r="231" spans="1:1" x14ac:dyDescent="0.25">
      <c r="A231" s="17"/>
    </row>
    <row r="232" spans="1:1" x14ac:dyDescent="0.25">
      <c r="A232" s="17"/>
    </row>
    <row r="233" spans="1:1" x14ac:dyDescent="0.25">
      <c r="A233" s="17"/>
    </row>
    <row r="234" spans="1:1" x14ac:dyDescent="0.25">
      <c r="A234" s="17"/>
    </row>
    <row r="235" spans="1:1" x14ac:dyDescent="0.25">
      <c r="A235" s="17"/>
    </row>
    <row r="236" spans="1:1" x14ac:dyDescent="0.25">
      <c r="A236" s="17"/>
    </row>
    <row r="237" spans="1:1" x14ac:dyDescent="0.25">
      <c r="A237" s="17"/>
    </row>
    <row r="238" spans="1:1" x14ac:dyDescent="0.25">
      <c r="A238" s="17"/>
    </row>
    <row r="239" spans="1:1" x14ac:dyDescent="0.25">
      <c r="A239" s="17"/>
    </row>
    <row r="240" spans="1:1" x14ac:dyDescent="0.25">
      <c r="A240" s="17"/>
    </row>
    <row r="241" spans="1:1" x14ac:dyDescent="0.25">
      <c r="A241" s="17"/>
    </row>
    <row r="242" spans="1:1" x14ac:dyDescent="0.25">
      <c r="A242" s="17"/>
    </row>
    <row r="243" spans="1:1" x14ac:dyDescent="0.25">
      <c r="A243" s="17"/>
    </row>
    <row r="244" spans="1:1" x14ac:dyDescent="0.25">
      <c r="A244" s="17"/>
    </row>
    <row r="245" spans="1:1" x14ac:dyDescent="0.25">
      <c r="A245" s="17"/>
    </row>
    <row r="246" spans="1:1" x14ac:dyDescent="0.25">
      <c r="A246" s="17"/>
    </row>
    <row r="247" spans="1:1" x14ac:dyDescent="0.25">
      <c r="A247" s="17"/>
    </row>
    <row r="248" spans="1:1" x14ac:dyDescent="0.25">
      <c r="A248" s="17"/>
    </row>
    <row r="249" spans="1:1" x14ac:dyDescent="0.25">
      <c r="A249" s="17"/>
    </row>
    <row r="250" spans="1:1" x14ac:dyDescent="0.25">
      <c r="A250" s="17"/>
    </row>
    <row r="251" spans="1:1" x14ac:dyDescent="0.25">
      <c r="A251" s="17"/>
    </row>
    <row r="252" spans="1:1" x14ac:dyDescent="0.25">
      <c r="A252" s="17"/>
    </row>
    <row r="253" spans="1:1" x14ac:dyDescent="0.25">
      <c r="A253" s="17"/>
    </row>
    <row r="254" spans="1:1" x14ac:dyDescent="0.25">
      <c r="A254" s="17"/>
    </row>
    <row r="255" spans="1:1" x14ac:dyDescent="0.25">
      <c r="A255" s="17"/>
    </row>
    <row r="256" spans="1:1" x14ac:dyDescent="0.25">
      <c r="A256" s="17"/>
    </row>
    <row r="257" spans="1:1" x14ac:dyDescent="0.25">
      <c r="A257" s="17"/>
    </row>
    <row r="258" spans="1:1" x14ac:dyDescent="0.25">
      <c r="A258" s="17"/>
    </row>
    <row r="259" spans="1:1" x14ac:dyDescent="0.25">
      <c r="A259" s="17"/>
    </row>
    <row r="260" spans="1:1" x14ac:dyDescent="0.25">
      <c r="A260" s="17"/>
    </row>
    <row r="261" spans="1:1" x14ac:dyDescent="0.25">
      <c r="A261" s="17"/>
    </row>
    <row r="262" spans="1:1" x14ac:dyDescent="0.25">
      <c r="A262" s="17"/>
    </row>
    <row r="263" spans="1:1" x14ac:dyDescent="0.25">
      <c r="A263" s="17"/>
    </row>
    <row r="264" spans="1:1" x14ac:dyDescent="0.25">
      <c r="A264" s="17"/>
    </row>
    <row r="265" spans="1:1" x14ac:dyDescent="0.25">
      <c r="A265" s="17"/>
    </row>
    <row r="266" spans="1:1" x14ac:dyDescent="0.25">
      <c r="A266" s="17"/>
    </row>
    <row r="267" spans="1:1" x14ac:dyDescent="0.25">
      <c r="A267" s="17"/>
    </row>
    <row r="268" spans="1:1" x14ac:dyDescent="0.25">
      <c r="A268" s="17"/>
    </row>
    <row r="269" spans="1:1" x14ac:dyDescent="0.25">
      <c r="A269" s="17"/>
    </row>
    <row r="270" spans="1:1" x14ac:dyDescent="0.25">
      <c r="A270" s="17"/>
    </row>
    <row r="271" spans="1:1" x14ac:dyDescent="0.25">
      <c r="A271" s="17"/>
    </row>
    <row r="272" spans="1:1" x14ac:dyDescent="0.25">
      <c r="A272" s="17"/>
    </row>
    <row r="273" spans="1:1" x14ac:dyDescent="0.25">
      <c r="A273" s="17"/>
    </row>
    <row r="274" spans="1:1" x14ac:dyDescent="0.25">
      <c r="A274" s="17"/>
    </row>
    <row r="275" spans="1:1" x14ac:dyDescent="0.25">
      <c r="A275" s="17"/>
    </row>
    <row r="276" spans="1:1" x14ac:dyDescent="0.25">
      <c r="A276" s="17"/>
    </row>
    <row r="277" spans="1:1" x14ac:dyDescent="0.25">
      <c r="A277" s="17"/>
    </row>
    <row r="278" spans="1:1" x14ac:dyDescent="0.25">
      <c r="A278" s="17"/>
    </row>
    <row r="279" spans="1:1" x14ac:dyDescent="0.25">
      <c r="A279" s="17"/>
    </row>
    <row r="280" spans="1:1" x14ac:dyDescent="0.25">
      <c r="A280" s="17"/>
    </row>
    <row r="281" spans="1:1" x14ac:dyDescent="0.25">
      <c r="A281" s="17"/>
    </row>
    <row r="282" spans="1:1" x14ac:dyDescent="0.25">
      <c r="A282" s="17"/>
    </row>
    <row r="283" spans="1:1" x14ac:dyDescent="0.25">
      <c r="A283" s="17"/>
    </row>
    <row r="284" spans="1:1" x14ac:dyDescent="0.25">
      <c r="A284" s="17"/>
    </row>
    <row r="285" spans="1:1" x14ac:dyDescent="0.25">
      <c r="A285" s="17"/>
    </row>
    <row r="286" spans="1:1" x14ac:dyDescent="0.25">
      <c r="A286" s="17"/>
    </row>
    <row r="287" spans="1:1" x14ac:dyDescent="0.25">
      <c r="A287" s="17"/>
    </row>
    <row r="288" spans="1:1" x14ac:dyDescent="0.25">
      <c r="A288" s="17"/>
    </row>
    <row r="289" spans="1:1" x14ac:dyDescent="0.25">
      <c r="A289" s="17"/>
    </row>
    <row r="290" spans="1:1" x14ac:dyDescent="0.25">
      <c r="A290" s="17"/>
    </row>
    <row r="291" spans="1:1" x14ac:dyDescent="0.25">
      <c r="A291" s="17"/>
    </row>
    <row r="292" spans="1:1" x14ac:dyDescent="0.25">
      <c r="A292" s="17"/>
    </row>
    <row r="293" spans="1:1" x14ac:dyDescent="0.25">
      <c r="A293" s="17"/>
    </row>
    <row r="294" spans="1:1" x14ac:dyDescent="0.25">
      <c r="A294" s="17"/>
    </row>
    <row r="295" spans="1:1" x14ac:dyDescent="0.25">
      <c r="A295" s="17"/>
    </row>
    <row r="296" spans="1:1" x14ac:dyDescent="0.25">
      <c r="A296" s="17"/>
    </row>
    <row r="297" spans="1:1" x14ac:dyDescent="0.25">
      <c r="A297" s="17"/>
    </row>
    <row r="298" spans="1:1" x14ac:dyDescent="0.25">
      <c r="A298" s="17"/>
    </row>
    <row r="299" spans="1:1" x14ac:dyDescent="0.25">
      <c r="A299" s="17"/>
    </row>
    <row r="300" spans="1:1" x14ac:dyDescent="0.25">
      <c r="A300" s="17"/>
    </row>
    <row r="301" spans="1:1" x14ac:dyDescent="0.25">
      <c r="A301" s="17"/>
    </row>
    <row r="302" spans="1:1" x14ac:dyDescent="0.25">
      <c r="A302" s="17"/>
    </row>
    <row r="303" spans="1:1" x14ac:dyDescent="0.25">
      <c r="A303" s="17"/>
    </row>
    <row r="304" spans="1:1" x14ac:dyDescent="0.25">
      <c r="A304" s="17"/>
    </row>
    <row r="305" spans="1:1" x14ac:dyDescent="0.25">
      <c r="A305" s="17"/>
    </row>
    <row r="306" spans="1:1" x14ac:dyDescent="0.25">
      <c r="A306" s="17"/>
    </row>
    <row r="307" spans="1:1" x14ac:dyDescent="0.25">
      <c r="A307" s="17"/>
    </row>
    <row r="308" spans="1:1" x14ac:dyDescent="0.25">
      <c r="A308" s="17"/>
    </row>
    <row r="309" spans="1:1" x14ac:dyDescent="0.25">
      <c r="A309" s="17"/>
    </row>
    <row r="310" spans="1:1" x14ac:dyDescent="0.25">
      <c r="A310" s="17"/>
    </row>
    <row r="311" spans="1:1" x14ac:dyDescent="0.25">
      <c r="A311" s="17"/>
    </row>
    <row r="312" spans="1:1" x14ac:dyDescent="0.25">
      <c r="A312" s="17"/>
    </row>
    <row r="313" spans="1:1" x14ac:dyDescent="0.25">
      <c r="A313" s="17"/>
    </row>
    <row r="314" spans="1:1" x14ac:dyDescent="0.25">
      <c r="A314" s="17"/>
    </row>
    <row r="315" spans="1:1" x14ac:dyDescent="0.25">
      <c r="A315" s="17"/>
    </row>
    <row r="316" spans="1:1" x14ac:dyDescent="0.25">
      <c r="A316" s="17"/>
    </row>
    <row r="317" spans="1:1" x14ac:dyDescent="0.25">
      <c r="A317" s="17"/>
    </row>
    <row r="318" spans="1:1" x14ac:dyDescent="0.25">
      <c r="A318" s="17"/>
    </row>
    <row r="319" spans="1:1" x14ac:dyDescent="0.25">
      <c r="A319" s="17"/>
    </row>
    <row r="320" spans="1:1" x14ac:dyDescent="0.25">
      <c r="A320" s="17"/>
    </row>
    <row r="321" spans="1:1" x14ac:dyDescent="0.25">
      <c r="A321" s="17"/>
    </row>
    <row r="322" spans="1:1" x14ac:dyDescent="0.25">
      <c r="A322" s="17"/>
    </row>
    <row r="323" spans="1:1" x14ac:dyDescent="0.25">
      <c r="A323" s="17"/>
    </row>
    <row r="324" spans="1:1" x14ac:dyDescent="0.25">
      <c r="A324" s="17"/>
    </row>
    <row r="325" spans="1:1" x14ac:dyDescent="0.25">
      <c r="A325" s="17"/>
    </row>
    <row r="326" spans="1:1" x14ac:dyDescent="0.25">
      <c r="A326" s="17"/>
    </row>
    <row r="327" spans="1:1" x14ac:dyDescent="0.25">
      <c r="A327" s="17"/>
    </row>
    <row r="328" spans="1:1" x14ac:dyDescent="0.25">
      <c r="A328" s="17"/>
    </row>
    <row r="329" spans="1:1" x14ac:dyDescent="0.25">
      <c r="A329" s="17"/>
    </row>
    <row r="330" spans="1:1" x14ac:dyDescent="0.25">
      <c r="A330" s="17"/>
    </row>
    <row r="331" spans="1:1" x14ac:dyDescent="0.25">
      <c r="A331" s="17"/>
    </row>
    <row r="332" spans="1:1" x14ac:dyDescent="0.25">
      <c r="A332" s="17"/>
    </row>
    <row r="333" spans="1:1" x14ac:dyDescent="0.25">
      <c r="A333" s="17"/>
    </row>
    <row r="334" spans="1:1" x14ac:dyDescent="0.25">
      <c r="A334" s="17"/>
    </row>
    <row r="335" spans="1:1" x14ac:dyDescent="0.25">
      <c r="A335" s="17"/>
    </row>
    <row r="336" spans="1:1" x14ac:dyDescent="0.25">
      <c r="A336" s="17"/>
    </row>
    <row r="337" spans="1:1" x14ac:dyDescent="0.25">
      <c r="A337" s="17"/>
    </row>
    <row r="338" spans="1:1" x14ac:dyDescent="0.25">
      <c r="A338" s="17"/>
    </row>
    <row r="339" spans="1:1" x14ac:dyDescent="0.25">
      <c r="A339" s="17"/>
    </row>
    <row r="340" spans="1:1" x14ac:dyDescent="0.25">
      <c r="A340" s="17"/>
    </row>
    <row r="341" spans="1:1" x14ac:dyDescent="0.25">
      <c r="A341" s="17"/>
    </row>
    <row r="342" spans="1:1" x14ac:dyDescent="0.25">
      <c r="A342" s="17"/>
    </row>
    <row r="343" spans="1:1" x14ac:dyDescent="0.25">
      <c r="A343" s="17"/>
    </row>
    <row r="344" spans="1:1" x14ac:dyDescent="0.25">
      <c r="A344" s="17"/>
    </row>
    <row r="345" spans="1:1" x14ac:dyDescent="0.25">
      <c r="A345" s="17"/>
    </row>
    <row r="346" spans="1:1" x14ac:dyDescent="0.25">
      <c r="A346" s="17"/>
    </row>
    <row r="347" spans="1:1" x14ac:dyDescent="0.25">
      <c r="A347" s="17"/>
    </row>
    <row r="348" spans="1:1" x14ac:dyDescent="0.25">
      <c r="A348" s="17"/>
    </row>
    <row r="349" spans="1:1" x14ac:dyDescent="0.25">
      <c r="A349" s="17"/>
    </row>
    <row r="350" spans="1:1" x14ac:dyDescent="0.25">
      <c r="A350" s="17"/>
    </row>
    <row r="351" spans="1:1" x14ac:dyDescent="0.25">
      <c r="A351" s="17"/>
    </row>
    <row r="352" spans="1:1" x14ac:dyDescent="0.25">
      <c r="A352" s="17"/>
    </row>
    <row r="353" spans="1:1" x14ac:dyDescent="0.25">
      <c r="A353" s="17"/>
    </row>
    <row r="354" spans="1:1" x14ac:dyDescent="0.25">
      <c r="A354" s="17"/>
    </row>
    <row r="355" spans="1:1" x14ac:dyDescent="0.25">
      <c r="A355" s="17"/>
    </row>
    <row r="356" spans="1:1" x14ac:dyDescent="0.25">
      <c r="A356" s="17"/>
    </row>
  </sheetData>
  <mergeCells count="11">
    <mergeCell ref="J144:K144"/>
    <mergeCell ref="L144:M144"/>
    <mergeCell ref="N144:O144"/>
    <mergeCell ref="A1:G1"/>
    <mergeCell ref="I1:O1"/>
    <mergeCell ref="B5:G5"/>
    <mergeCell ref="J5:O5"/>
    <mergeCell ref="A6:A8"/>
    <mergeCell ref="B6:G6"/>
    <mergeCell ref="I6:I8"/>
    <mergeCell ref="J6:O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Acevedo Ojeda</dc:creator>
  <cp:lastModifiedBy>Emmanuel Acevedo Ojeda</cp:lastModifiedBy>
  <dcterms:created xsi:type="dcterms:W3CDTF">2026-10-04T01:12:26Z</dcterms:created>
  <dcterms:modified xsi:type="dcterms:W3CDTF">2026-10-04T01:13:11Z</dcterms:modified>
</cp:coreProperties>
</file>